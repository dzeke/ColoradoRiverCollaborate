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Rosenberg\Work\USU\Research\ColoradoRiver\RCode\ColoradoRiverCollaborate\LakeMeadWaterConservationProgramAnalysis\LakeMeadStorageICS\"/>
    </mc:Choice>
  </mc:AlternateContent>
  <xr:revisionPtr revIDLastSave="0" documentId="13_ncr:1_{375BD56C-463E-4677-BAC7-822E220F92CE}" xr6:coauthVersionLast="47" xr6:coauthVersionMax="47" xr10:uidLastSave="{00000000-0000-0000-0000-000000000000}"/>
  <bookViews>
    <workbookView xWindow="-57720" yWindow="-120" windowWidth="29040" windowHeight="15720" activeTab="1" xr2:uid="{00000000-000D-0000-FFFF-FFFF00000000}"/>
  </bookViews>
  <sheets>
    <sheet name="ReadMe" sheetId="6" r:id="rId1"/>
    <sheet name="Balances" sheetId="1" r:id="rId2"/>
    <sheet name="Deposits" sheetId="7" r:id="rId3"/>
    <sheet name="Capacities" sheetId="5" r:id="rId4"/>
    <sheet name="ICStoDCP" sheetId="3" r:id="rId5"/>
    <sheet name="DCPLogs" sheetId="4" r:id="rId6"/>
    <sheet name="By User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7" l="1"/>
  <c r="B19" i="7" s="1"/>
  <c r="D19" i="7"/>
  <c r="E19" i="7"/>
  <c r="F19" i="7"/>
  <c r="H19" i="1"/>
  <c r="E19" i="1"/>
  <c r="F19" i="1"/>
  <c r="H2" i="1"/>
  <c r="H3" i="1"/>
  <c r="H4" i="1"/>
  <c r="H5" i="1"/>
  <c r="H6" i="1"/>
  <c r="H7" i="1"/>
  <c r="H8" i="1"/>
  <c r="H9" i="1"/>
  <c r="H10" i="1"/>
  <c r="H11" i="1"/>
  <c r="H12" i="1"/>
  <c r="H13" i="1"/>
  <c r="H18" i="1"/>
  <c r="E18" i="1"/>
  <c r="F18" i="7" s="1"/>
  <c r="E17" i="1"/>
  <c r="F17" i="7" s="1"/>
  <c r="E16" i="1"/>
  <c r="F16" i="7" s="1"/>
  <c r="E15" i="1"/>
  <c r="F15" i="7" s="1"/>
  <c r="F5" i="1"/>
  <c r="F2" i="1"/>
  <c r="C4" i="7"/>
  <c r="D4" i="7"/>
  <c r="E4" i="7"/>
  <c r="F4" i="7"/>
  <c r="C5" i="7"/>
  <c r="D5" i="7"/>
  <c r="E5" i="7"/>
  <c r="F5" i="7"/>
  <c r="C6" i="7"/>
  <c r="D6" i="7"/>
  <c r="E6" i="7"/>
  <c r="F6" i="7"/>
  <c r="C7" i="7"/>
  <c r="D7" i="7"/>
  <c r="E7" i="7"/>
  <c r="F7" i="7"/>
  <c r="C8" i="7"/>
  <c r="D8" i="7"/>
  <c r="E8" i="7"/>
  <c r="F8" i="7"/>
  <c r="C9" i="7"/>
  <c r="D9" i="7"/>
  <c r="E9" i="7"/>
  <c r="F9" i="7"/>
  <c r="C10" i="7"/>
  <c r="D10" i="7"/>
  <c r="E10" i="7"/>
  <c r="F10" i="7"/>
  <c r="C11" i="7"/>
  <c r="D11" i="7"/>
  <c r="E11" i="7"/>
  <c r="F11" i="7"/>
  <c r="C12" i="7"/>
  <c r="D12" i="7"/>
  <c r="E12" i="7"/>
  <c r="F12" i="7"/>
  <c r="C13" i="7"/>
  <c r="D13" i="7"/>
  <c r="E13" i="7"/>
  <c r="F13" i="7"/>
  <c r="C14" i="7"/>
  <c r="D14" i="7"/>
  <c r="E14" i="7"/>
  <c r="F14" i="7"/>
  <c r="C15" i="7"/>
  <c r="D15" i="7"/>
  <c r="E15" i="7"/>
  <c r="C16" i="7"/>
  <c r="D16" i="7"/>
  <c r="E16" i="7"/>
  <c r="C17" i="7"/>
  <c r="D17" i="7"/>
  <c r="E17" i="7"/>
  <c r="C18" i="7"/>
  <c r="D18" i="7"/>
  <c r="E18" i="7"/>
  <c r="D3" i="7"/>
  <c r="E3" i="7"/>
  <c r="F3" i="7"/>
  <c r="C3" i="7"/>
  <c r="D2" i="7"/>
  <c r="E2" i="7"/>
  <c r="C2" i="7"/>
  <c r="F2" i="7"/>
  <c r="B14" i="1"/>
  <c r="C14" i="1"/>
  <c r="D14" i="1"/>
  <c r="B7" i="1"/>
  <c r="C7" i="1"/>
  <c r="D7" i="1"/>
  <c r="E7" i="1"/>
  <c r="B8" i="1"/>
  <c r="C8" i="1"/>
  <c r="D8" i="1"/>
  <c r="E8" i="1"/>
  <c r="B9" i="1"/>
  <c r="C9" i="1"/>
  <c r="D9" i="1"/>
  <c r="E9" i="1"/>
  <c r="B10" i="1"/>
  <c r="C10" i="1"/>
  <c r="D10" i="1"/>
  <c r="E10" i="1"/>
  <c r="B11" i="1"/>
  <c r="C11" i="1"/>
  <c r="D11" i="1"/>
  <c r="E11" i="1"/>
  <c r="B12" i="1"/>
  <c r="C12" i="1"/>
  <c r="D12" i="1"/>
  <c r="E12" i="1"/>
  <c r="B13" i="1"/>
  <c r="C13" i="1"/>
  <c r="D13" i="1"/>
  <c r="E13" i="1"/>
  <c r="C6" i="1"/>
  <c r="D6" i="1"/>
  <c r="E6" i="1"/>
  <c r="B6" i="1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2" i="7"/>
  <c r="A1" i="7" a="1"/>
  <c r="A1" i="7" s="1"/>
  <c r="C3" i="1"/>
  <c r="F3" i="1" s="1"/>
  <c r="C4" i="1"/>
  <c r="C7" i="5"/>
  <c r="D7" i="5"/>
  <c r="E7" i="5"/>
  <c r="F7" i="5"/>
  <c r="B7" i="5"/>
  <c r="D10" i="5"/>
  <c r="C10" i="5"/>
  <c r="B10" i="5"/>
  <c r="F9" i="5"/>
  <c r="F8" i="5"/>
  <c r="F4" i="5"/>
  <c r="F3" i="5"/>
  <c r="F2" i="5"/>
  <c r="F18" i="1"/>
  <c r="F17" i="1"/>
  <c r="F16" i="1"/>
  <c r="F4" i="1" l="1"/>
  <c r="F10" i="5"/>
  <c r="F7" i="4"/>
  <c r="F15" i="1" l="1"/>
  <c r="H4" i="4" l="1"/>
  <c r="I4" i="4" s="1"/>
  <c r="H5" i="4"/>
  <c r="I5" i="4" s="1"/>
  <c r="H3" i="4"/>
  <c r="I3" i="4" s="1"/>
  <c r="B3" i="7" l="1"/>
  <c r="D27" i="2"/>
  <c r="D26" i="2"/>
  <c r="D23" i="2"/>
  <c r="D22" i="2"/>
  <c r="D19" i="2"/>
  <c r="D18" i="2"/>
  <c r="D17" i="2"/>
  <c r="D15" i="2"/>
  <c r="D14" i="2"/>
  <c r="D13" i="2"/>
  <c r="D11" i="2"/>
  <c r="D10" i="2"/>
  <c r="D9" i="2"/>
  <c r="D7" i="2"/>
  <c r="D6" i="2"/>
  <c r="D4" i="2"/>
  <c r="D3" i="2"/>
  <c r="D2" i="2"/>
  <c r="D5" i="2"/>
  <c r="G13" i="3" l="1"/>
  <c r="G8" i="3"/>
  <c r="G14" i="3"/>
  <c r="G7" i="3"/>
  <c r="G9" i="3"/>
  <c r="G10" i="3"/>
  <c r="G11" i="3"/>
  <c r="G12" i="3"/>
  <c r="E14" i="3"/>
  <c r="E11" i="3"/>
  <c r="E8" i="3"/>
  <c r="E9" i="3"/>
  <c r="E13" i="3"/>
  <c r="E12" i="3"/>
  <c r="E7" i="3"/>
  <c r="E10" i="3"/>
  <c r="F12" i="3"/>
  <c r="F11" i="3"/>
  <c r="F13" i="3"/>
  <c r="F14" i="3"/>
  <c r="F10" i="3"/>
  <c r="B13" i="7"/>
  <c r="B2" i="7"/>
  <c r="B18" i="7"/>
  <c r="B10" i="7"/>
  <c r="F7" i="1"/>
  <c r="F9" i="1"/>
  <c r="F14" i="1"/>
  <c r="H14" i="1" s="1"/>
  <c r="F13" i="1"/>
  <c r="F8" i="1"/>
  <c r="F6" i="1"/>
  <c r="B7" i="7" l="1"/>
  <c r="B8" i="7"/>
  <c r="B9" i="7"/>
  <c r="B17" i="7"/>
  <c r="H17" i="1"/>
  <c r="B6" i="7"/>
  <c r="B12" i="7"/>
  <c r="B11" i="7"/>
  <c r="B4" i="7" l="1"/>
  <c r="B16" i="7"/>
  <c r="H16" i="1"/>
  <c r="F11" i="1"/>
  <c r="F10" i="1"/>
  <c r="F12" i="1"/>
  <c r="B5" i="7" l="1"/>
  <c r="B14" i="7"/>
  <c r="B15" i="7"/>
  <c r="H1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<sst xmlns="http://schemas.openxmlformats.org/spreadsheetml/2006/main" count="178" uniqueCount="79">
  <si>
    <t>Data Sources:</t>
  </si>
  <si>
    <t>Interim Guidelines: https://www.usbr.gov/lc/region/programs/strategies/RecordofDecision.pdf</t>
  </si>
  <si>
    <t>Item</t>
  </si>
  <si>
    <t>Arizona</t>
  </si>
  <si>
    <t>California</t>
  </si>
  <si>
    <t>Nevada</t>
  </si>
  <si>
    <t>Total</t>
  </si>
  <si>
    <t>Balance - Dec 2017 (AF)</t>
  </si>
  <si>
    <t>Max Deposit (AF/year)</t>
  </si>
  <si>
    <t>Max Total (AF)</t>
  </si>
  <si>
    <t>Max Withdraw (Delivery; AF/year)</t>
  </si>
  <si>
    <t>Initial</t>
  </si>
  <si>
    <t>Water Accounting Reports: https://www.usbr.gov/lc/region/g4000/wtracct.html</t>
  </si>
  <si>
    <t>Balance - Dec 2016 (AF)</t>
  </si>
  <si>
    <t>Balance - Dec 2015 (AF)</t>
  </si>
  <si>
    <t>Assessment of Losses</t>
  </si>
  <si>
    <t>Each subsequent year</t>
  </si>
  <si>
    <t>ICS reduced when reservoir flood control releases made.</t>
  </si>
  <si>
    <t>Delivery lessened when shortage condition reached - insufficient water to deliver 7.5 MAF/yr of consumptive use</t>
  </si>
  <si>
    <t>Shortage condition = 1,075 ft Mead Level</t>
  </si>
  <si>
    <t>New levels with DCP</t>
  </si>
  <si>
    <t>Balance - Dec 2018 (AF)</t>
  </si>
  <si>
    <t>Max Balance (AF)</t>
  </si>
  <si>
    <t>Year</t>
  </si>
  <si>
    <t>Balance - Dec 2014 (AF)</t>
  </si>
  <si>
    <t>Balance - Dec 2013 (AF)</t>
  </si>
  <si>
    <t>Balance - Dec 2012 (AF)</t>
  </si>
  <si>
    <t>Balance - Dec 2011 (AF)</t>
  </si>
  <si>
    <t>Balance - Dec 2010 (AF)</t>
  </si>
  <si>
    <t>User</t>
  </si>
  <si>
    <t>State</t>
  </si>
  <si>
    <t>Balance</t>
  </si>
  <si>
    <t>MWD</t>
  </si>
  <si>
    <t>IID</t>
  </si>
  <si>
    <t>SNWA</t>
  </si>
  <si>
    <t>CAP</t>
  </si>
  <si>
    <t>CRIT</t>
  </si>
  <si>
    <t>GRIC</t>
  </si>
  <si>
    <t>Balance - Dec 2019 (AF)</t>
  </si>
  <si>
    <t>DCP-AZ Reduction (ac-ft)</t>
  </si>
  <si>
    <t>DCP-NV Reduction (ac-ft)</t>
  </si>
  <si>
    <t>DCP-CA Reduction (ac-ft)</t>
  </si>
  <si>
    <t>Mead Elevation (ft)</t>
  </si>
  <si>
    <t>Years ICS can convert to DCP</t>
  </si>
  <si>
    <t>AZ</t>
  </si>
  <si>
    <t>CA</t>
  </si>
  <si>
    <t>NV</t>
  </si>
  <si>
    <t>Balance - Dec 2020 (AF)</t>
  </si>
  <si>
    <t>Mexico</t>
  </si>
  <si>
    <t>Required DCP Contribution</t>
  </si>
  <si>
    <t>ConvertExistingICStoDCPICS</t>
  </si>
  <si>
    <t>CreateConvertICStoDCPICS</t>
  </si>
  <si>
    <t>CreatNonICS</t>
  </si>
  <si>
    <t>TotalDCPContribute</t>
  </si>
  <si>
    <t>DCPDeficiency</t>
  </si>
  <si>
    <t>CAWCD</t>
  </si>
  <si>
    <t>US+MX</t>
  </si>
  <si>
    <t>Balance - Dec 2021 (AF)</t>
  </si>
  <si>
    <t>Balance - Dec 2022 (AF)</t>
  </si>
  <si>
    <t>Balance - Dec 2023 (AF)</t>
  </si>
  <si>
    <t>Balance - Dec 2009 (AF)</t>
  </si>
  <si>
    <t>Balance - Dec 2008 (AF)</t>
  </si>
  <si>
    <t>Balance - Dec 2007 (AF)</t>
  </si>
  <si>
    <t>Lake Mead Water Conservation Accounts (Intentionally Created Surplus) Data</t>
  </si>
  <si>
    <t>Worksheet</t>
  </si>
  <si>
    <t>Description</t>
  </si>
  <si>
    <t>1. Balances</t>
  </si>
  <si>
    <t>Water Conservation account balances, credits, and debits, by year and entity.</t>
  </si>
  <si>
    <t>Maximum credits, debits, and totals allowed per year</t>
  </si>
  <si>
    <t>Explanation of how users met drought contingency plan (DPC) required conservation.</t>
  </si>
  <si>
    <t>Number of years state can use ICS balance to meet drought contingency plan (DCP) required conservation</t>
  </si>
  <si>
    <t>2. Deposits</t>
  </si>
  <si>
    <t>Annual deposits and withdraws calculated as the year to year difference in balances.</t>
  </si>
  <si>
    <t>3. Capacities</t>
  </si>
  <si>
    <t>4. ICStoDPC</t>
  </si>
  <si>
    <t>5. DCPLogs</t>
  </si>
  <si>
    <t>6. ByUser</t>
  </si>
  <si>
    <t>Account balance by state and contractor</t>
  </si>
  <si>
    <t>Balance - Dec 2024 (AF)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</si>
</sst>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/>
    <xf numFmtId="164" fontId="0" fillId="0" borderId="0" xfId="1" applyNumberFormat="1" applyFont="1"/>
    <xf numFmtId="0" fontId="2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1" xfId="0" applyBorder="1"/>
    <xf numFmtId="164" fontId="0" fillId="0" borderId="1" xfId="1" applyNumberFormat="1" applyFont="1" applyBorder="1"/>
    <xf numFmtId="0" fontId="2" fillId="2" borderId="1" xfId="0" applyFont="1" applyFill="1" applyBorder="1"/>
    <xf numFmtId="164" fontId="2" fillId="2" borderId="1" xfId="1" applyNumberFormat="1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1" fontId="1" fillId="0" borderId="0" xfId="1" applyNumberFormat="1" applyFont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165" fontId="0" fillId="0" borderId="1" xfId="1" applyNumberFormat="1" applyFont="1" applyBorder="1"/>
    <xf numFmtId="165" fontId="0" fillId="0" borderId="0" xfId="0" applyNumberFormat="1" applyAlignment="1">
      <alignment horizontal="center"/>
    </xf>
    <xf numFmtId="164" fontId="0" fillId="0" borderId="0" xfId="1" applyNumberFormat="1" applyFont="1" applyAlignment="1">
      <alignment horizontal="center"/>
    </xf>
    <xf numFmtId="0" fontId="0" fillId="0" borderId="0" xfId="1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4" borderId="0" xfId="0" applyFont="1" applyFill="1"/>
    <xf numFmtId="0" fontId="0" fillId="2" borderId="0" xfId="0" applyFill="1" applyAlignment="1">
      <alignment horizontal="center"/>
    </xf>
    <xf numFmtId="164" fontId="2" fillId="0" borderId="0" xfId="1" applyNumberFormat="1" applyFont="1" applyAlignment="1">
      <alignment horizontal="center"/>
    </xf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640DB-DC1D-4720-8967-8C163BD4DD2C}">
  <dimension ref="A1:B14"/>
  <sheetViews>
    <sheetView zoomScale="170" zoomScaleNormal="170" workbookViewId="0">
      <selection activeCell="B5" sqref="B5"/>
    </sheetView>
  </sheetViews>
  <sheetFormatPr defaultRowHeight="14.5" x14ac:dyDescent="0.35"/>
  <cols>
    <col min="1" max="1" width="12.453125" customWidth="1"/>
    <col min="2" max="2" width="46.81640625" customWidth="1"/>
  </cols>
  <sheetData>
    <row r="1" spans="1:2" s="1" customFormat="1" x14ac:dyDescent="0.35">
      <c r="A1" s="1" t="s">
        <v>63</v>
      </c>
    </row>
    <row r="2" spans="1:2" s="1" customFormat="1" x14ac:dyDescent="0.35"/>
    <row r="3" spans="1:2" x14ac:dyDescent="0.35">
      <c r="A3" s="1" t="s">
        <v>0</v>
      </c>
    </row>
    <row r="4" spans="1:2" x14ac:dyDescent="0.35">
      <c r="B4" t="s">
        <v>1</v>
      </c>
    </row>
    <row r="5" spans="1:2" x14ac:dyDescent="0.35">
      <c r="B5" t="s">
        <v>12</v>
      </c>
    </row>
    <row r="8" spans="1:2" x14ac:dyDescent="0.35">
      <c r="A8" s="19" t="s">
        <v>64</v>
      </c>
      <c r="B8" s="19" t="s">
        <v>65</v>
      </c>
    </row>
    <row r="9" spans="1:2" x14ac:dyDescent="0.35">
      <c r="A9" t="s">
        <v>66</v>
      </c>
      <c r="B9" t="s">
        <v>67</v>
      </c>
    </row>
    <row r="10" spans="1:2" x14ac:dyDescent="0.35">
      <c r="A10" t="s">
        <v>71</v>
      </c>
      <c r="B10" t="s">
        <v>72</v>
      </c>
    </row>
    <row r="11" spans="1:2" x14ac:dyDescent="0.35">
      <c r="A11" t="s">
        <v>73</v>
      </c>
      <c r="B11" t="s">
        <v>68</v>
      </c>
    </row>
    <row r="12" spans="1:2" x14ac:dyDescent="0.35">
      <c r="A12" t="s">
        <v>74</v>
      </c>
      <c r="B12" t="s">
        <v>70</v>
      </c>
    </row>
    <row r="13" spans="1:2" x14ac:dyDescent="0.35">
      <c r="A13" t="s">
        <v>75</v>
      </c>
      <c r="B13" t="s">
        <v>69</v>
      </c>
    </row>
    <row r="14" spans="1:2" x14ac:dyDescent="0.35">
      <c r="A14" t="s">
        <v>76</v>
      </c>
      <c r="B14" t="s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zoomScale="150" zoomScaleNormal="150" workbookViewId="0">
      <pane xSplit="1" ySplit="1" topLeftCell="B2" activePane="bottomRight" state="frozen"/>
      <selection pane="topRight" activeCell="B1" sqref="B1"/>
      <selection pane="bottomLeft" activeCell="A7" sqref="A7"/>
      <selection pane="bottomRight" activeCell="E19" sqref="E19"/>
    </sheetView>
  </sheetViews>
  <sheetFormatPr defaultRowHeight="14.5" x14ac:dyDescent="0.35"/>
  <cols>
    <col min="1" max="1" width="30.7265625" customWidth="1"/>
    <col min="2" max="2" width="10" customWidth="1"/>
    <col min="3" max="3" width="11" customWidth="1"/>
    <col min="4" max="5" width="10.54296875" customWidth="1"/>
    <col min="6" max="6" width="11.7265625" customWidth="1"/>
    <col min="7" max="7" width="9.1796875" bestFit="1" customWidth="1"/>
    <col min="8" max="8" width="10.81640625" customWidth="1"/>
  </cols>
  <sheetData>
    <row r="1" spans="1:8" s="1" customFormat="1" x14ac:dyDescent="0.35">
      <c r="A1" s="1" t="s">
        <v>2</v>
      </c>
      <c r="B1" s="3" t="s">
        <v>3</v>
      </c>
      <c r="C1" s="3" t="s">
        <v>4</v>
      </c>
      <c r="D1" s="3" t="s">
        <v>5</v>
      </c>
      <c r="E1" s="3" t="s">
        <v>48</v>
      </c>
      <c r="F1" s="3" t="s">
        <v>6</v>
      </c>
      <c r="G1" s="1" t="s">
        <v>23</v>
      </c>
      <c r="H1" s="1" t="s">
        <v>56</v>
      </c>
    </row>
    <row r="2" spans="1:8" s="1" customFormat="1" x14ac:dyDescent="0.35">
      <c r="A2" t="s">
        <v>62</v>
      </c>
      <c r="B2" s="2">
        <v>0</v>
      </c>
      <c r="C2" s="2">
        <v>41398</v>
      </c>
      <c r="D2" s="2">
        <v>0</v>
      </c>
      <c r="E2" s="2">
        <v>0</v>
      </c>
      <c r="F2" s="2">
        <f>SUM(B2:E2)</f>
        <v>41398</v>
      </c>
      <c r="G2" s="10">
        <v>2007</v>
      </c>
      <c r="H2" s="11">
        <f t="shared" ref="H2:H13" si="0">SUM(E2:F2)</f>
        <v>41398</v>
      </c>
    </row>
    <row r="3" spans="1:8" x14ac:dyDescent="0.35">
      <c r="A3" t="s">
        <v>61</v>
      </c>
      <c r="B3" s="2">
        <v>100000</v>
      </c>
      <c r="C3" s="2">
        <f>27573+66000</f>
        <v>93573</v>
      </c>
      <c r="D3" s="2">
        <v>400000</v>
      </c>
      <c r="E3" s="2">
        <v>0</v>
      </c>
      <c r="F3" s="2">
        <f t="shared" ref="F3:F19" si="1">SUM(B3:D3)</f>
        <v>593573</v>
      </c>
      <c r="G3" s="10">
        <v>2008</v>
      </c>
      <c r="H3" s="11">
        <f t="shared" si="0"/>
        <v>593573</v>
      </c>
    </row>
    <row r="4" spans="1:8" x14ac:dyDescent="0.35">
      <c r="A4" t="s">
        <v>60</v>
      </c>
      <c r="B4" s="2">
        <v>100000</v>
      </c>
      <c r="C4" s="2">
        <f>79790+66000+11400</f>
        <v>157190</v>
      </c>
      <c r="D4" s="2">
        <v>400000</v>
      </c>
      <c r="E4" s="2">
        <v>0</v>
      </c>
      <c r="F4" s="2">
        <f t="shared" si="1"/>
        <v>657190</v>
      </c>
      <c r="G4" s="10">
        <v>2009</v>
      </c>
      <c r="H4" s="11">
        <f t="shared" si="0"/>
        <v>657190</v>
      </c>
    </row>
    <row r="5" spans="1:8" x14ac:dyDescent="0.35">
      <c r="A5" t="s">
        <v>28</v>
      </c>
      <c r="B5" s="2">
        <v>102094</v>
      </c>
      <c r="C5" s="2">
        <v>261990</v>
      </c>
      <c r="D5" s="2">
        <v>451257</v>
      </c>
      <c r="E5" s="2">
        <v>0</v>
      </c>
      <c r="F5" s="2">
        <f>SUM(B5:E5)</f>
        <v>815341</v>
      </c>
      <c r="G5" s="10">
        <v>2010</v>
      </c>
      <c r="H5" s="11">
        <f t="shared" si="0"/>
        <v>815341</v>
      </c>
    </row>
    <row r="6" spans="1:8" s="1" customFormat="1" x14ac:dyDescent="0.35">
      <c r="A6" t="s">
        <v>27</v>
      </c>
      <c r="B6" s="2">
        <f>SUMIFS('By User'!$D$2:$D$43,'By User'!$A$2:$A$43,Balances!$G6,'By User'!$C$2:$C$43,Balances!B$1)</f>
        <v>103050</v>
      </c>
      <c r="C6" s="2">
        <f>SUMIFS('By User'!$D$2:$D$43,'By User'!$A$2:$A$43,Balances!$G6,'By User'!$C$2:$C$43,Balances!C$1)</f>
        <v>440678</v>
      </c>
      <c r="D6" s="2">
        <f>SUMIFS('By User'!$D$2:$D$43,'By User'!$A$2:$A$43,Balances!$G6,'By User'!$C$2:$C$43,Balances!D$1)</f>
        <v>482672</v>
      </c>
      <c r="E6" s="2">
        <f>SUMIFS('By User'!$D$2:$D$43,'By User'!$A$2:$A$43,Balances!$G6,'By User'!$C$2:$C$43,Balances!E$1)</f>
        <v>0</v>
      </c>
      <c r="F6" s="2">
        <f t="shared" si="1"/>
        <v>1026400</v>
      </c>
      <c r="G6" s="10">
        <v>2011</v>
      </c>
      <c r="H6" s="11">
        <f t="shared" si="0"/>
        <v>1026400</v>
      </c>
    </row>
    <row r="7" spans="1:8" s="1" customFormat="1" x14ac:dyDescent="0.35">
      <c r="A7" t="s">
        <v>26</v>
      </c>
      <c r="B7" s="2">
        <f>SUMIFS('By User'!$D$2:$D$43,'By User'!$A$2:$A$43,Balances!$G7,'By User'!$C$2:$C$43,Balances!B$1)</f>
        <v>103050</v>
      </c>
      <c r="C7" s="2">
        <f>SUMIFS('By User'!$D$2:$D$43,'By User'!$A$2:$A$43,Balances!$G7,'By User'!$C$2:$C$43,Balances!C$1)</f>
        <v>579786</v>
      </c>
      <c r="D7" s="2">
        <f>SUMIFS('By User'!$D$2:$D$43,'By User'!$A$2:$A$43,Balances!$G7,'By User'!$C$2:$C$43,Balances!D$1)</f>
        <v>512804</v>
      </c>
      <c r="E7" s="2">
        <f>SUMIFS('By User'!$D$2:$D$43,'By User'!$A$2:$A$43,Balances!$G7,'By User'!$C$2:$C$43,Balances!E$1)</f>
        <v>0</v>
      </c>
      <c r="F7" s="2">
        <f t="shared" si="1"/>
        <v>1195640</v>
      </c>
      <c r="G7" s="10">
        <v>2012</v>
      </c>
      <c r="H7" s="11">
        <f t="shared" si="0"/>
        <v>1195640</v>
      </c>
    </row>
    <row r="8" spans="1:8" x14ac:dyDescent="0.35">
      <c r="A8" t="s">
        <v>25</v>
      </c>
      <c r="B8" s="2">
        <f>SUMIFS('By User'!$D$2:$D$43,'By User'!$A$2:$A$43,Balances!$G8,'By User'!$C$2:$C$43,Balances!B$1)</f>
        <v>103050</v>
      </c>
      <c r="C8" s="2">
        <f>SUMIFS('By User'!$D$2:$D$43,'By User'!$A$2:$A$43,Balances!$G8,'By User'!$C$2:$C$43,Balances!C$1)</f>
        <v>474063</v>
      </c>
      <c r="D8" s="2">
        <f>SUMIFS('By User'!$D$2:$D$43,'By User'!$A$2:$A$43,Balances!$G8,'By User'!$C$2:$C$43,Balances!D$1)</f>
        <v>541051</v>
      </c>
      <c r="E8" s="2">
        <f>SUMIFS('By User'!$D$2:$D$43,'By User'!$A$2:$A$43,Balances!$G8,'By User'!$C$2:$C$43,Balances!E$1)</f>
        <v>0</v>
      </c>
      <c r="F8" s="2">
        <f t="shared" si="1"/>
        <v>1118164</v>
      </c>
      <c r="G8" s="10">
        <v>2013</v>
      </c>
      <c r="H8" s="11">
        <f t="shared" si="0"/>
        <v>1118164</v>
      </c>
    </row>
    <row r="9" spans="1:8" x14ac:dyDescent="0.35">
      <c r="A9" t="s">
        <v>24</v>
      </c>
      <c r="B9" s="2">
        <f>SUMIFS('By User'!$D$2:$D$43,'By User'!$A$2:$A$43,Balances!$G9,'By User'!$C$2:$C$43,Balances!B$1)</f>
        <v>103050</v>
      </c>
      <c r="C9" s="2">
        <f>SUMIFS('By User'!$D$2:$D$43,'By User'!$A$2:$A$43,Balances!$G9,'By User'!$C$2:$C$43,Balances!C$1)</f>
        <v>169085</v>
      </c>
      <c r="D9" s="2">
        <f>SUMIFS('By User'!$D$2:$D$43,'By User'!$A$2:$A$43,Balances!$G9,'By User'!$C$2:$C$43,Balances!D$1)</f>
        <v>564765</v>
      </c>
      <c r="E9" s="2">
        <f>SUMIFS('By User'!$D$2:$D$43,'By User'!$A$2:$A$43,Balances!$G9,'By User'!$C$2:$C$43,Balances!E$1)</f>
        <v>0</v>
      </c>
      <c r="F9" s="2">
        <f t="shared" si="1"/>
        <v>836900</v>
      </c>
      <c r="G9" s="10">
        <v>2014</v>
      </c>
      <c r="H9" s="11">
        <f t="shared" si="0"/>
        <v>836900</v>
      </c>
    </row>
    <row r="10" spans="1:8" x14ac:dyDescent="0.35">
      <c r="A10" t="s">
        <v>14</v>
      </c>
      <c r="B10" s="2">
        <f>SUMIFS('By User'!$D$2:$D$43,'By User'!$A$2:$A$43,Balances!$G10,'By User'!$C$2:$C$43,Balances!B$1)</f>
        <v>103050</v>
      </c>
      <c r="C10" s="2">
        <f>SUMIFS('By User'!$D$2:$D$43,'By User'!$A$2:$A$43,Balances!$G10,'By User'!$C$2:$C$43,Balances!C$1)</f>
        <v>97791</v>
      </c>
      <c r="D10" s="2">
        <f>SUMIFS('By User'!$D$2:$D$43,'By User'!$A$2:$A$43,Balances!$G10,'By User'!$C$2:$C$43,Balances!D$1)</f>
        <v>511023</v>
      </c>
      <c r="E10" s="2">
        <f>SUMIFS('By User'!$D$2:$D$43,'By User'!$A$2:$A$43,Balances!$G10,'By User'!$C$2:$C$43,Balances!E$1)</f>
        <v>0</v>
      </c>
      <c r="F10" s="2">
        <f t="shared" si="1"/>
        <v>711864</v>
      </c>
      <c r="G10" s="10">
        <v>2015</v>
      </c>
      <c r="H10" s="11">
        <f t="shared" si="0"/>
        <v>711864</v>
      </c>
    </row>
    <row r="11" spans="1:8" x14ac:dyDescent="0.35">
      <c r="A11" t="s">
        <v>13</v>
      </c>
      <c r="B11" s="2">
        <f>SUMIFS('By User'!$D$2:$D$43,'By User'!$A$2:$A$43,Balances!$G11,'By User'!$C$2:$C$43,Balances!B$1)</f>
        <v>103050</v>
      </c>
      <c r="C11" s="2">
        <f>SUMIFS('By User'!$D$2:$D$43,'By User'!$A$2:$A$43,Balances!$G11,'By User'!$C$2:$C$43,Balances!C$1)</f>
        <v>115066</v>
      </c>
      <c r="D11" s="2">
        <f>SUMIFS('By User'!$D$2:$D$43,'By User'!$A$2:$A$43,Balances!$G11,'By User'!$C$2:$C$43,Balances!D$1)</f>
        <v>531562</v>
      </c>
      <c r="E11" s="2">
        <f>SUMIFS('By User'!$D$2:$D$43,'By User'!$A$2:$A$43,Balances!$G11,'By User'!$C$2:$C$43,Balances!E$1)</f>
        <v>0</v>
      </c>
      <c r="F11" s="2">
        <f t="shared" si="1"/>
        <v>749678</v>
      </c>
      <c r="G11" s="10">
        <v>2016</v>
      </c>
      <c r="H11" s="11">
        <f t="shared" si="0"/>
        <v>749678</v>
      </c>
    </row>
    <row r="12" spans="1:8" x14ac:dyDescent="0.35">
      <c r="A12" t="s">
        <v>7</v>
      </c>
      <c r="B12" s="2">
        <f>SUMIFS('By User'!$D$2:$D$43,'By User'!$A$2:$A$43,Balances!$G12,'By User'!$C$2:$C$43,Balances!B$1)</f>
        <v>126800</v>
      </c>
      <c r="C12" s="2">
        <f>SUMIFS('By User'!$D$2:$D$43,'By User'!$A$2:$A$43,Balances!$G12,'By User'!$C$2:$C$43,Balances!C$1)</f>
        <v>552378</v>
      </c>
      <c r="D12" s="2">
        <f>SUMIFS('By User'!$D$2:$D$43,'By User'!$A$2:$A$43,Balances!$G12,'By User'!$C$2:$C$43,Balances!D$1)</f>
        <v>582313</v>
      </c>
      <c r="E12" s="2">
        <f>SUMIFS('By User'!$D$2:$D$43,'By User'!$A$2:$A$43,Balances!$G12,'By User'!$C$2:$C$43,Balances!E$1)</f>
        <v>0</v>
      </c>
      <c r="F12" s="2">
        <f t="shared" si="1"/>
        <v>1261491</v>
      </c>
      <c r="G12" s="10">
        <v>2017</v>
      </c>
      <c r="H12" s="11">
        <f t="shared" si="0"/>
        <v>1261491</v>
      </c>
    </row>
    <row r="13" spans="1:8" x14ac:dyDescent="0.35">
      <c r="A13" t="s">
        <v>21</v>
      </c>
      <c r="B13" s="2">
        <f>SUMIFS('By User'!$D$2:$D$43,'By User'!$A$2:$A$43,Balances!$G13,'By User'!$C$2:$C$43,Balances!B$1)</f>
        <v>343052</v>
      </c>
      <c r="C13" s="2">
        <f>SUMIFS('By User'!$D$2:$D$43,'By User'!$A$2:$A$43,Balances!$G13,'By User'!$C$2:$C$43,Balances!C$1)</f>
        <v>698432</v>
      </c>
      <c r="D13" s="2">
        <f>SUMIFS('By User'!$D$2:$D$43,'By User'!$A$2:$A$43,Balances!$G13,'By User'!$C$2:$C$43,Balances!D$1)</f>
        <v>700448</v>
      </c>
      <c r="E13" s="2">
        <f>SUMIFS('By User'!$D$2:$D$43,'By User'!$A$2:$A$43,Balances!$G13,'By User'!$C$2:$C$43,Balances!E$1)</f>
        <v>0</v>
      </c>
      <c r="F13" s="2">
        <f t="shared" si="1"/>
        <v>1741932</v>
      </c>
      <c r="G13" s="9">
        <v>2018</v>
      </c>
      <c r="H13" s="11">
        <f t="shared" si="0"/>
        <v>1741932</v>
      </c>
    </row>
    <row r="14" spans="1:8" x14ac:dyDescent="0.35">
      <c r="A14" t="s">
        <v>38</v>
      </c>
      <c r="B14" s="2">
        <f>SUMIFS('By User'!$D$2:$D$43,'By User'!$A$2:$A$43,Balances!$G14,'By User'!$C$2:$C$43,Balances!B$1)</f>
        <v>473504</v>
      </c>
      <c r="C14" s="2">
        <f>SUMIFS('By User'!$D$2:$D$43,'By User'!$A$2:$A$43,Balances!$G14,'By User'!$C$2:$C$43,Balances!C$1)</f>
        <v>1053210</v>
      </c>
      <c r="D14" s="2">
        <f>SUMIFS('By User'!$D$2:$D$43,'By User'!$A$2:$A$43,Balances!$G14,'By User'!$C$2:$C$43,Balances!D$1)</f>
        <v>785913</v>
      </c>
      <c r="E14" s="2">
        <v>132975</v>
      </c>
      <c r="F14" s="2">
        <f t="shared" si="1"/>
        <v>2312627</v>
      </c>
      <c r="G14" s="12">
        <v>2019</v>
      </c>
      <c r="H14" s="11">
        <f>SUM(E14:F14)</f>
        <v>2445602</v>
      </c>
    </row>
    <row r="15" spans="1:8" x14ac:dyDescent="0.35">
      <c r="A15" t="s">
        <v>47</v>
      </c>
      <c r="B15" s="16">
        <v>598742</v>
      </c>
      <c r="C15" s="16">
        <v>1375871</v>
      </c>
      <c r="D15" s="16">
        <v>865741</v>
      </c>
      <c r="E15" s="16">
        <f>E14+41000</f>
        <v>173975</v>
      </c>
      <c r="F15" s="2">
        <f t="shared" si="1"/>
        <v>2840354</v>
      </c>
      <c r="G15" s="17">
        <v>2020</v>
      </c>
      <c r="H15" s="11">
        <f>SUM(E15:F15)</f>
        <v>3014329</v>
      </c>
    </row>
    <row r="16" spans="1:8" x14ac:dyDescent="0.35">
      <c r="A16" t="s">
        <v>57</v>
      </c>
      <c r="B16" s="16">
        <v>684201</v>
      </c>
      <c r="C16" s="16">
        <v>1357085</v>
      </c>
      <c r="D16" s="16">
        <v>949658</v>
      </c>
      <c r="E16" s="16">
        <f>E15+41000</f>
        <v>214975</v>
      </c>
      <c r="F16" s="2">
        <f t="shared" si="1"/>
        <v>2990944</v>
      </c>
      <c r="G16" s="17">
        <v>2021</v>
      </c>
      <c r="H16" s="11">
        <f>SUM(E16:F16)</f>
        <v>3205919</v>
      </c>
    </row>
    <row r="17" spans="1:8" x14ac:dyDescent="0.35">
      <c r="A17" t="s">
        <v>58</v>
      </c>
      <c r="B17" s="16">
        <v>753423</v>
      </c>
      <c r="C17" s="16">
        <v>1245693</v>
      </c>
      <c r="D17" s="16">
        <v>1038765</v>
      </c>
      <c r="E17" s="16">
        <f>30000+E16</f>
        <v>244975</v>
      </c>
      <c r="F17" s="2">
        <f t="shared" si="1"/>
        <v>3037881</v>
      </c>
      <c r="G17" s="17">
        <v>2022</v>
      </c>
      <c r="H17" s="11">
        <f>SUM(E17:F17)</f>
        <v>3282856</v>
      </c>
    </row>
    <row r="18" spans="1:8" x14ac:dyDescent="0.35">
      <c r="A18" t="s">
        <v>59</v>
      </c>
      <c r="B18" s="21">
        <v>710589</v>
      </c>
      <c r="C18" s="21">
        <v>1661832</v>
      </c>
      <c r="D18" s="21">
        <v>955543</v>
      </c>
      <c r="E18" s="18">
        <f>E17-34000</f>
        <v>210975</v>
      </c>
      <c r="F18" s="2">
        <f t="shared" si="1"/>
        <v>3327964</v>
      </c>
      <c r="G18" s="12">
        <v>2023</v>
      </c>
      <c r="H18" s="11">
        <f>SUM(E18:F18)</f>
        <v>3538939</v>
      </c>
    </row>
    <row r="19" spans="1:8" x14ac:dyDescent="0.35">
      <c r="A19" t="s">
        <v>78</v>
      </c>
      <c r="B19" s="16">
        <v>710589</v>
      </c>
      <c r="C19" s="16">
        <v>1661832</v>
      </c>
      <c r="D19" s="16">
        <v>954013</v>
      </c>
      <c r="E19" s="11">
        <f>E18+30000</f>
        <v>240975</v>
      </c>
      <c r="F19" s="2">
        <f t="shared" si="1"/>
        <v>3326434</v>
      </c>
      <c r="G19" s="12">
        <v>2024</v>
      </c>
      <c r="H19" s="11">
        <f>SUM(E19:F19)</f>
        <v>3567409</v>
      </c>
    </row>
  </sheetData>
  <sortState xmlns:xlrd2="http://schemas.microsoft.com/office/spreadsheetml/2017/richdata2" ref="A2:H18">
    <sortCondition ref="G2:G1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452AE-E84E-4682-A6B7-6BBA39D2CE31}">
  <dimension ref="A1:F19"/>
  <sheetViews>
    <sheetView zoomScale="150" zoomScaleNormal="150" workbookViewId="0">
      <selection activeCell="B18" sqref="B18:F19"/>
    </sheetView>
  </sheetViews>
  <sheetFormatPr defaultRowHeight="14.5" x14ac:dyDescent="0.35"/>
  <cols>
    <col min="1" max="1" width="8.7265625" style="12"/>
    <col min="2" max="2" width="11.7265625" style="12" bestFit="1" customWidth="1"/>
    <col min="3" max="3" width="11.1796875" style="12" bestFit="1" customWidth="1"/>
    <col min="4" max="4" width="11.7265625" style="12" bestFit="1" customWidth="1"/>
    <col min="5" max="6" width="11.1796875" style="12" bestFit="1" customWidth="1"/>
  </cols>
  <sheetData>
    <row r="1" spans="1:6" x14ac:dyDescent="0.35">
      <c r="A1" s="20" t="str" cm="1">
        <f t="array" ref="A1">Balances!G1:G1</f>
        <v>Year</v>
      </c>
      <c r="B1" s="20" t="s">
        <v>6</v>
      </c>
      <c r="C1" s="20" t="s">
        <v>3</v>
      </c>
      <c r="D1" s="20" t="s">
        <v>4</v>
      </c>
      <c r="E1" s="20" t="s">
        <v>5</v>
      </c>
      <c r="F1" s="20" t="s">
        <v>48</v>
      </c>
    </row>
    <row r="2" spans="1:6" x14ac:dyDescent="0.35">
      <c r="A2" s="12">
        <f>Balances!G2</f>
        <v>2007</v>
      </c>
      <c r="B2" s="16">
        <f>SUM(C2:F2)</f>
        <v>41398</v>
      </c>
      <c r="C2" s="16">
        <f>Balances!B2</f>
        <v>0</v>
      </c>
      <c r="D2" s="16">
        <f>Balances!C2</f>
        <v>41398</v>
      </c>
      <c r="E2" s="16">
        <f>Balances!D2</f>
        <v>0</v>
      </c>
      <c r="F2" s="16">
        <f>Balances!E3-Balances!E2</f>
        <v>0</v>
      </c>
    </row>
    <row r="3" spans="1:6" x14ac:dyDescent="0.35">
      <c r="A3" s="12">
        <f>Balances!G3</f>
        <v>2008</v>
      </c>
      <c r="B3" s="16">
        <f t="shared" ref="B3:B18" si="0">SUM(C3:F3)</f>
        <v>552175</v>
      </c>
      <c r="C3" s="16">
        <f>Balances!B3-Balances!B2</f>
        <v>100000</v>
      </c>
      <c r="D3" s="16">
        <f>Balances!C3-Balances!C2</f>
        <v>52175</v>
      </c>
      <c r="E3" s="16">
        <f>Balances!D3-Balances!D2</f>
        <v>400000</v>
      </c>
      <c r="F3" s="16">
        <f>Balances!E3-Balances!E2</f>
        <v>0</v>
      </c>
    </row>
    <row r="4" spans="1:6" x14ac:dyDescent="0.35">
      <c r="A4" s="12">
        <f>Balances!G4</f>
        <v>2009</v>
      </c>
      <c r="B4" s="16">
        <f t="shared" si="0"/>
        <v>63617</v>
      </c>
      <c r="C4" s="16">
        <f>Balances!B4-Balances!B3</f>
        <v>0</v>
      </c>
      <c r="D4" s="16">
        <f>Balances!C4-Balances!C3</f>
        <v>63617</v>
      </c>
      <c r="E4" s="16">
        <f>Balances!D4-Balances!D3</f>
        <v>0</v>
      </c>
      <c r="F4" s="16">
        <f>Balances!E4-Balances!E3</f>
        <v>0</v>
      </c>
    </row>
    <row r="5" spans="1:6" x14ac:dyDescent="0.35">
      <c r="A5" s="12">
        <f>Balances!G5</f>
        <v>2010</v>
      </c>
      <c r="B5" s="16">
        <f t="shared" si="0"/>
        <v>158151</v>
      </c>
      <c r="C5" s="16">
        <f>Balances!B5-Balances!B4</f>
        <v>2094</v>
      </c>
      <c r="D5" s="16">
        <f>Balances!C5-Balances!C4</f>
        <v>104800</v>
      </c>
      <c r="E5" s="16">
        <f>Balances!D5-Balances!D4</f>
        <v>51257</v>
      </c>
      <c r="F5" s="16">
        <f>Balances!E5-Balances!E4</f>
        <v>0</v>
      </c>
    </row>
    <row r="6" spans="1:6" x14ac:dyDescent="0.35">
      <c r="A6" s="12">
        <f>Balances!G6</f>
        <v>2011</v>
      </c>
      <c r="B6" s="16">
        <f t="shared" si="0"/>
        <v>211059</v>
      </c>
      <c r="C6" s="16">
        <f>Balances!B6-Balances!B5</f>
        <v>956</v>
      </c>
      <c r="D6" s="16">
        <f>Balances!C6-Balances!C5</f>
        <v>178688</v>
      </c>
      <c r="E6" s="16">
        <f>Balances!D6-Balances!D5</f>
        <v>31415</v>
      </c>
      <c r="F6" s="16">
        <f>Balances!E6-Balances!E5</f>
        <v>0</v>
      </c>
    </row>
    <row r="7" spans="1:6" x14ac:dyDescent="0.35">
      <c r="A7" s="12">
        <f>Balances!G7</f>
        <v>2012</v>
      </c>
      <c r="B7" s="16">
        <f t="shared" si="0"/>
        <v>169240</v>
      </c>
      <c r="C7" s="16">
        <f>Balances!B7-Balances!B6</f>
        <v>0</v>
      </c>
      <c r="D7" s="16">
        <f>Balances!C7-Balances!C6</f>
        <v>139108</v>
      </c>
      <c r="E7" s="16">
        <f>Balances!D7-Balances!D6</f>
        <v>30132</v>
      </c>
      <c r="F7" s="16">
        <f>Balances!E7-Balances!E6</f>
        <v>0</v>
      </c>
    </row>
    <row r="8" spans="1:6" x14ac:dyDescent="0.35">
      <c r="A8" s="12">
        <f>Balances!G8</f>
        <v>2013</v>
      </c>
      <c r="B8" s="16">
        <f t="shared" si="0"/>
        <v>-77476</v>
      </c>
      <c r="C8" s="16">
        <f>Balances!B8-Balances!B7</f>
        <v>0</v>
      </c>
      <c r="D8" s="16">
        <f>Balances!C8-Balances!C7</f>
        <v>-105723</v>
      </c>
      <c r="E8" s="16">
        <f>Balances!D8-Balances!D7</f>
        <v>28247</v>
      </c>
      <c r="F8" s="16">
        <f>Balances!E8-Balances!E7</f>
        <v>0</v>
      </c>
    </row>
    <row r="9" spans="1:6" x14ac:dyDescent="0.35">
      <c r="A9" s="12">
        <f>Balances!G9</f>
        <v>2014</v>
      </c>
      <c r="B9" s="16">
        <f t="shared" si="0"/>
        <v>-281264</v>
      </c>
      <c r="C9" s="16">
        <f>Balances!B9-Balances!B8</f>
        <v>0</v>
      </c>
      <c r="D9" s="16">
        <f>Balances!C9-Balances!C8</f>
        <v>-304978</v>
      </c>
      <c r="E9" s="16">
        <f>Balances!D9-Balances!D8</f>
        <v>23714</v>
      </c>
      <c r="F9" s="16">
        <f>Balances!E9-Balances!E8</f>
        <v>0</v>
      </c>
    </row>
    <row r="10" spans="1:6" x14ac:dyDescent="0.35">
      <c r="A10" s="12">
        <f>Balances!G10</f>
        <v>2015</v>
      </c>
      <c r="B10" s="16">
        <f t="shared" si="0"/>
        <v>-125036</v>
      </c>
      <c r="C10" s="16">
        <f>Balances!B10-Balances!B9</f>
        <v>0</v>
      </c>
      <c r="D10" s="16">
        <f>Balances!C10-Balances!C9</f>
        <v>-71294</v>
      </c>
      <c r="E10" s="16">
        <f>Balances!D10-Balances!D9</f>
        <v>-53742</v>
      </c>
      <c r="F10" s="16">
        <f>Balances!E10-Balances!E9</f>
        <v>0</v>
      </c>
    </row>
    <row r="11" spans="1:6" x14ac:dyDescent="0.35">
      <c r="A11" s="12">
        <f>Balances!G11</f>
        <v>2016</v>
      </c>
      <c r="B11" s="16">
        <f t="shared" si="0"/>
        <v>37814</v>
      </c>
      <c r="C11" s="16">
        <f>Balances!B11-Balances!B10</f>
        <v>0</v>
      </c>
      <c r="D11" s="16">
        <f>Balances!C11-Balances!C10</f>
        <v>17275</v>
      </c>
      <c r="E11" s="16">
        <f>Balances!D11-Balances!D10</f>
        <v>20539</v>
      </c>
      <c r="F11" s="16">
        <f>Balances!E11-Balances!E10</f>
        <v>0</v>
      </c>
    </row>
    <row r="12" spans="1:6" x14ac:dyDescent="0.35">
      <c r="A12" s="12">
        <f>Balances!G12</f>
        <v>2017</v>
      </c>
      <c r="B12" s="16">
        <f t="shared" si="0"/>
        <v>511813</v>
      </c>
      <c r="C12" s="16">
        <f>Balances!B12-Balances!B11</f>
        <v>23750</v>
      </c>
      <c r="D12" s="16">
        <f>Balances!C12-Balances!C11</f>
        <v>437312</v>
      </c>
      <c r="E12" s="16">
        <f>Balances!D12-Balances!D11</f>
        <v>50751</v>
      </c>
      <c r="F12" s="16">
        <f>Balances!E12-Balances!E11</f>
        <v>0</v>
      </c>
    </row>
    <row r="13" spans="1:6" x14ac:dyDescent="0.35">
      <c r="A13" s="12">
        <f>Balances!G13</f>
        <v>2018</v>
      </c>
      <c r="B13" s="16">
        <f t="shared" si="0"/>
        <v>480441</v>
      </c>
      <c r="C13" s="16">
        <f>Balances!B13-Balances!B12</f>
        <v>216252</v>
      </c>
      <c r="D13" s="16">
        <f>Balances!C13-Balances!C12</f>
        <v>146054</v>
      </c>
      <c r="E13" s="16">
        <f>Balances!D13-Balances!D12</f>
        <v>118135</v>
      </c>
      <c r="F13" s="16">
        <f>Balances!E13-Balances!E12</f>
        <v>0</v>
      </c>
    </row>
    <row r="14" spans="1:6" x14ac:dyDescent="0.35">
      <c r="A14" s="12">
        <f>Balances!G14</f>
        <v>2019</v>
      </c>
      <c r="B14" s="16">
        <f t="shared" si="0"/>
        <v>703670</v>
      </c>
      <c r="C14" s="16">
        <f>Balances!B14-Balances!B13</f>
        <v>130452</v>
      </c>
      <c r="D14" s="16">
        <f>Balances!C14-Balances!C13</f>
        <v>354778</v>
      </c>
      <c r="E14" s="16">
        <f>Balances!D14-Balances!D13</f>
        <v>85465</v>
      </c>
      <c r="F14" s="16">
        <f>Balances!E14-Balances!E13</f>
        <v>132975</v>
      </c>
    </row>
    <row r="15" spans="1:6" x14ac:dyDescent="0.35">
      <c r="A15" s="12">
        <f>Balances!G15</f>
        <v>2020</v>
      </c>
      <c r="B15" s="16">
        <f t="shared" si="0"/>
        <v>568727</v>
      </c>
      <c r="C15" s="16">
        <f>Balances!B15-Balances!B14</f>
        <v>125238</v>
      </c>
      <c r="D15" s="16">
        <f>Balances!C15-Balances!C14</f>
        <v>322661</v>
      </c>
      <c r="E15" s="16">
        <f>Balances!D15-Balances!D14</f>
        <v>79828</v>
      </c>
      <c r="F15" s="16">
        <f>Balances!E15-Balances!E14</f>
        <v>41000</v>
      </c>
    </row>
    <row r="16" spans="1:6" x14ac:dyDescent="0.35">
      <c r="A16" s="12">
        <f>Balances!G16</f>
        <v>2021</v>
      </c>
      <c r="B16" s="16">
        <f t="shared" si="0"/>
        <v>191590</v>
      </c>
      <c r="C16" s="16">
        <f>Balances!B16-Balances!B15</f>
        <v>85459</v>
      </c>
      <c r="D16" s="16">
        <f>Balances!C16-Balances!C15</f>
        <v>-18786</v>
      </c>
      <c r="E16" s="16">
        <f>Balances!D16-Balances!D15</f>
        <v>83917</v>
      </c>
      <c r="F16" s="16">
        <f>Balances!E16-Balances!E15</f>
        <v>41000</v>
      </c>
    </row>
    <row r="17" spans="1:6" x14ac:dyDescent="0.35">
      <c r="A17" s="12">
        <f>Balances!G17</f>
        <v>2022</v>
      </c>
      <c r="B17" s="16">
        <f t="shared" si="0"/>
        <v>76937</v>
      </c>
      <c r="C17" s="16">
        <f>Balances!B17-Balances!B16</f>
        <v>69222</v>
      </c>
      <c r="D17" s="16">
        <f>Balances!C17-Balances!C16</f>
        <v>-111392</v>
      </c>
      <c r="E17" s="16">
        <f>Balances!D17-Balances!D16</f>
        <v>89107</v>
      </c>
      <c r="F17" s="16">
        <f>Balances!E17-Balances!E16</f>
        <v>30000</v>
      </c>
    </row>
    <row r="18" spans="1:6" x14ac:dyDescent="0.35">
      <c r="A18" s="12">
        <f>Balances!G18</f>
        <v>2023</v>
      </c>
      <c r="B18" s="16">
        <f t="shared" si="0"/>
        <v>256083</v>
      </c>
      <c r="C18" s="16">
        <f>Balances!B18-Balances!B17</f>
        <v>-42834</v>
      </c>
      <c r="D18" s="16">
        <f>Balances!C18-Balances!C17</f>
        <v>416139</v>
      </c>
      <c r="E18" s="16">
        <f>Balances!D18-Balances!D17</f>
        <v>-83222</v>
      </c>
      <c r="F18" s="16">
        <f>Balances!E18-Balances!E17</f>
        <v>-34000</v>
      </c>
    </row>
    <row r="19" spans="1:6" x14ac:dyDescent="0.35">
      <c r="A19" s="12">
        <v>2024</v>
      </c>
      <c r="B19" s="16">
        <f t="shared" ref="B19" si="1">SUM(C19:F19)</f>
        <v>28470</v>
      </c>
      <c r="C19" s="16">
        <f>Balances!B19-Balances!B18</f>
        <v>0</v>
      </c>
      <c r="D19" s="16">
        <f>Balances!C19-Balances!C18</f>
        <v>0</v>
      </c>
      <c r="E19" s="16">
        <f>Balances!D19-Balances!D18</f>
        <v>-1530</v>
      </c>
      <c r="F19" s="16">
        <f>Balances!E19-Balances!E18</f>
        <v>30000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C09D6-2BEE-4EAC-9C47-48919B4DAC3E}">
  <dimension ref="A1:F16"/>
  <sheetViews>
    <sheetView workbookViewId="0">
      <selection activeCell="A2" sqref="A2"/>
    </sheetView>
  </sheetViews>
  <sheetFormatPr defaultRowHeight="14.5" x14ac:dyDescent="0.35"/>
  <cols>
    <col min="1" max="1" width="20.7265625" customWidth="1"/>
    <col min="3" max="3" width="10" customWidth="1"/>
    <col min="6" max="6" width="10.36328125" customWidth="1"/>
  </cols>
  <sheetData>
    <row r="1" spans="1:6" x14ac:dyDescent="0.35">
      <c r="A1" s="1" t="s">
        <v>2</v>
      </c>
      <c r="B1" s="3" t="s">
        <v>3</v>
      </c>
      <c r="C1" s="3" t="s">
        <v>4</v>
      </c>
      <c r="D1" s="3" t="s">
        <v>5</v>
      </c>
      <c r="E1" s="3" t="s">
        <v>48</v>
      </c>
      <c r="F1" s="3" t="s">
        <v>6</v>
      </c>
    </row>
    <row r="2" spans="1:6" x14ac:dyDescent="0.35">
      <c r="A2" t="s">
        <v>8</v>
      </c>
      <c r="B2" s="2">
        <v>100000</v>
      </c>
      <c r="C2" s="2">
        <v>400000</v>
      </c>
      <c r="D2" s="2">
        <v>125000</v>
      </c>
      <c r="E2" s="2"/>
      <c r="F2" s="2">
        <f t="shared" ref="F2:F4" si="0">SUM(B2:D2)</f>
        <v>625000</v>
      </c>
    </row>
    <row r="3" spans="1:6" x14ac:dyDescent="0.35">
      <c r="A3" t="s">
        <v>9</v>
      </c>
      <c r="B3" s="2">
        <v>300000</v>
      </c>
      <c r="C3" s="2">
        <v>1500000</v>
      </c>
      <c r="D3" s="2">
        <v>300000</v>
      </c>
      <c r="E3" s="2"/>
      <c r="F3" s="2">
        <f t="shared" si="0"/>
        <v>2100000</v>
      </c>
    </row>
    <row r="4" spans="1:6" x14ac:dyDescent="0.35">
      <c r="A4" t="s">
        <v>10</v>
      </c>
      <c r="B4" s="2">
        <v>300000</v>
      </c>
      <c r="C4" s="2">
        <v>400000</v>
      </c>
      <c r="D4" s="2">
        <v>300000</v>
      </c>
      <c r="E4" s="2"/>
      <c r="F4" s="2">
        <f t="shared" si="0"/>
        <v>1000000</v>
      </c>
    </row>
    <row r="5" spans="1:6" x14ac:dyDescent="0.35">
      <c r="A5" t="s">
        <v>18</v>
      </c>
      <c r="B5" s="2"/>
      <c r="C5" s="2"/>
      <c r="D5" s="2"/>
      <c r="E5" s="2"/>
      <c r="F5" s="2"/>
    </row>
    <row r="6" spans="1:6" x14ac:dyDescent="0.35">
      <c r="B6" s="2"/>
      <c r="C6" s="2"/>
      <c r="D6" s="2"/>
      <c r="E6" s="2"/>
      <c r="F6" s="2"/>
    </row>
    <row r="7" spans="1:6" x14ac:dyDescent="0.35">
      <c r="A7" s="7" t="s">
        <v>20</v>
      </c>
      <c r="B7" s="8" t="str">
        <f>B1</f>
        <v>Arizona</v>
      </c>
      <c r="C7" s="8" t="str">
        <f t="shared" ref="C7:F7" si="1">C1</f>
        <v>California</v>
      </c>
      <c r="D7" s="8" t="str">
        <f t="shared" si="1"/>
        <v>Nevada</v>
      </c>
      <c r="E7" s="8" t="str">
        <f t="shared" si="1"/>
        <v>Mexico</v>
      </c>
      <c r="F7" s="8" t="str">
        <f t="shared" si="1"/>
        <v>Total</v>
      </c>
    </row>
    <row r="8" spans="1:6" x14ac:dyDescent="0.35">
      <c r="A8" s="5" t="s">
        <v>8</v>
      </c>
      <c r="B8" s="6">
        <v>100000</v>
      </c>
      <c r="C8" s="6">
        <v>400000</v>
      </c>
      <c r="D8" s="6">
        <v>125000</v>
      </c>
      <c r="E8" s="6"/>
      <c r="F8" s="6">
        <f t="shared" ref="F8:F10" si="2">SUM(B8:D8)</f>
        <v>625000</v>
      </c>
    </row>
    <row r="9" spans="1:6" x14ac:dyDescent="0.35">
      <c r="A9" s="5" t="s">
        <v>22</v>
      </c>
      <c r="B9" s="6">
        <v>500000</v>
      </c>
      <c r="C9" s="6">
        <v>1700000</v>
      </c>
      <c r="D9" s="6">
        <v>500000</v>
      </c>
      <c r="E9" s="6"/>
      <c r="F9" s="6">
        <f t="shared" si="2"/>
        <v>2700000</v>
      </c>
    </row>
    <row r="10" spans="1:6" x14ac:dyDescent="0.35">
      <c r="A10" s="5" t="s">
        <v>10</v>
      </c>
      <c r="B10" s="6">
        <f>B4</f>
        <v>300000</v>
      </c>
      <c r="C10" s="6">
        <f t="shared" ref="C10:D10" si="3">C4</f>
        <v>400000</v>
      </c>
      <c r="D10" s="6">
        <f t="shared" si="3"/>
        <v>300000</v>
      </c>
      <c r="E10" s="6"/>
      <c r="F10" s="6">
        <f t="shared" si="2"/>
        <v>1000000</v>
      </c>
    </row>
    <row r="11" spans="1:6" x14ac:dyDescent="0.35">
      <c r="A11" s="22" t="s">
        <v>19</v>
      </c>
      <c r="B11" s="22"/>
      <c r="C11" s="22"/>
      <c r="D11" s="22"/>
      <c r="E11" s="22"/>
      <c r="F11" s="22"/>
    </row>
    <row r="12" spans="1:6" x14ac:dyDescent="0.35">
      <c r="A12" t="s">
        <v>17</v>
      </c>
      <c r="B12" s="2"/>
      <c r="C12" s="2"/>
      <c r="D12" s="2"/>
      <c r="E12" s="2"/>
      <c r="F12" s="2"/>
    </row>
    <row r="13" spans="1:6" x14ac:dyDescent="0.35">
      <c r="B13" s="2"/>
      <c r="C13" s="2"/>
      <c r="D13" s="2"/>
      <c r="E13" s="2"/>
      <c r="F13" s="2"/>
    </row>
    <row r="14" spans="1:6" x14ac:dyDescent="0.35">
      <c r="A14" s="1" t="s">
        <v>15</v>
      </c>
    </row>
    <row r="15" spans="1:6" x14ac:dyDescent="0.35">
      <c r="A15" t="s">
        <v>11</v>
      </c>
      <c r="B15" s="4">
        <v>0.05</v>
      </c>
      <c r="C15" s="4">
        <v>0.05</v>
      </c>
      <c r="D15" s="4">
        <v>0.05</v>
      </c>
      <c r="E15" s="4"/>
    </row>
    <row r="16" spans="1:6" x14ac:dyDescent="0.35">
      <c r="A16" t="s">
        <v>16</v>
      </c>
      <c r="B16" s="4">
        <v>0.03</v>
      </c>
      <c r="C16" s="4">
        <v>0.03</v>
      </c>
      <c r="D16" s="4">
        <v>0.03</v>
      </c>
      <c r="E16" s="4"/>
    </row>
  </sheetData>
  <mergeCells count="1">
    <mergeCell ref="A11:F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1C2B7-EA8A-46B6-A876-EE2A69C03180}">
  <dimension ref="A1:G14"/>
  <sheetViews>
    <sheetView workbookViewId="0">
      <selection activeCell="H1" sqref="H1:M1048576"/>
    </sheetView>
  </sheetViews>
  <sheetFormatPr defaultRowHeight="14.5" x14ac:dyDescent="0.35"/>
  <cols>
    <col min="2" max="2" width="9.7265625" customWidth="1"/>
    <col min="3" max="3" width="10.1796875" customWidth="1"/>
    <col min="4" max="4" width="9.54296875" customWidth="1"/>
  </cols>
  <sheetData>
    <row r="1" spans="1:7" x14ac:dyDescent="0.35">
      <c r="E1" s="23" t="s">
        <v>43</v>
      </c>
      <c r="F1" s="23"/>
      <c r="G1" s="23"/>
    </row>
    <row r="2" spans="1:7" ht="43.5" x14ac:dyDescent="0.35">
      <c r="A2" s="13" t="s">
        <v>42</v>
      </c>
      <c r="B2" s="13" t="s">
        <v>39</v>
      </c>
      <c r="C2" s="13" t="s">
        <v>41</v>
      </c>
      <c r="D2" s="13" t="s">
        <v>40</v>
      </c>
      <c r="E2" s="13" t="s">
        <v>44</v>
      </c>
      <c r="F2" s="13" t="s">
        <v>45</v>
      </c>
      <c r="G2" s="13" t="s">
        <v>46</v>
      </c>
    </row>
    <row r="3" spans="1:7" x14ac:dyDescent="0.35">
      <c r="A3" s="14">
        <v>1218.5</v>
      </c>
      <c r="B3" s="6"/>
      <c r="C3" s="6"/>
      <c r="D3" s="6"/>
    </row>
    <row r="4" spans="1:7" x14ac:dyDescent="0.35">
      <c r="A4" s="14">
        <v>1190</v>
      </c>
      <c r="B4" s="6"/>
      <c r="C4" s="6"/>
      <c r="D4" s="6"/>
    </row>
    <row r="5" spans="1:7" x14ac:dyDescent="0.35">
      <c r="A5" s="14">
        <v>1150</v>
      </c>
      <c r="B5" s="6"/>
      <c r="C5" s="6"/>
      <c r="D5" s="6"/>
    </row>
    <row r="6" spans="1:7" x14ac:dyDescent="0.35">
      <c r="A6" s="6">
        <v>1091</v>
      </c>
      <c r="B6" s="6"/>
      <c r="C6" s="6"/>
      <c r="D6" s="6"/>
    </row>
    <row r="7" spans="1:7" x14ac:dyDescent="0.35">
      <c r="A7" s="6">
        <v>1090</v>
      </c>
      <c r="B7" s="6">
        <v>192000</v>
      </c>
      <c r="C7" s="6"/>
      <c r="D7" s="6">
        <v>8000</v>
      </c>
      <c r="E7" s="15">
        <f>Balances!B$5/B7</f>
        <v>0.53173958333333338</v>
      </c>
      <c r="F7" s="15"/>
      <c r="G7" s="15">
        <f>Balances!D$5/D7</f>
        <v>56.407125000000001</v>
      </c>
    </row>
    <row r="8" spans="1:7" x14ac:dyDescent="0.35">
      <c r="A8" s="6">
        <v>1075</v>
      </c>
      <c r="B8" s="6">
        <v>512000</v>
      </c>
      <c r="C8" s="6"/>
      <c r="D8" s="6">
        <v>21000</v>
      </c>
      <c r="E8" s="15">
        <f>Balances!B$5/B8</f>
        <v>0.19940234374999999</v>
      </c>
      <c r="F8" s="15"/>
      <c r="G8" s="15">
        <f>Balances!D$5/D8</f>
        <v>21.488428571428571</v>
      </c>
    </row>
    <row r="9" spans="1:7" x14ac:dyDescent="0.35">
      <c r="A9" s="6">
        <v>1050</v>
      </c>
      <c r="B9" s="6">
        <v>592000</v>
      </c>
      <c r="C9" s="6"/>
      <c r="D9" s="6">
        <v>25000</v>
      </c>
      <c r="E9" s="15">
        <f>Balances!B$5/B9</f>
        <v>0.17245608108108107</v>
      </c>
      <c r="F9" s="15"/>
      <c r="G9" s="15">
        <f>Balances!D$5/D9</f>
        <v>18.050280000000001</v>
      </c>
    </row>
    <row r="10" spans="1:7" x14ac:dyDescent="0.35">
      <c r="A10" s="6">
        <v>1045</v>
      </c>
      <c r="B10" s="6">
        <v>640000</v>
      </c>
      <c r="C10" s="6">
        <v>200000</v>
      </c>
      <c r="D10" s="6">
        <v>27000</v>
      </c>
      <c r="E10" s="15">
        <f>Balances!B$5/B10</f>
        <v>0.15952187500000001</v>
      </c>
      <c r="F10" s="15">
        <f>Balances!C$5/C10</f>
        <v>1.3099499999999999</v>
      </c>
      <c r="G10" s="15">
        <f>Balances!D$5/D10</f>
        <v>16.713222222222221</v>
      </c>
    </row>
    <row r="11" spans="1:7" x14ac:dyDescent="0.35">
      <c r="A11" s="6">
        <v>1040</v>
      </c>
      <c r="B11" s="6">
        <v>640000</v>
      </c>
      <c r="C11" s="6">
        <v>250000</v>
      </c>
      <c r="D11" s="6">
        <v>27000</v>
      </c>
      <c r="E11" s="15">
        <f>Balances!B$5/B11</f>
        <v>0.15952187500000001</v>
      </c>
      <c r="F11" s="15">
        <f>Balances!C$5/C11</f>
        <v>1.04796</v>
      </c>
      <c r="G11" s="15">
        <f>Balances!D$5/D11</f>
        <v>16.713222222222221</v>
      </c>
    </row>
    <row r="12" spans="1:7" x14ac:dyDescent="0.35">
      <c r="A12" s="6">
        <v>1035</v>
      </c>
      <c r="B12" s="6">
        <v>640000</v>
      </c>
      <c r="C12" s="6">
        <v>300000</v>
      </c>
      <c r="D12" s="6">
        <v>27000</v>
      </c>
      <c r="E12" s="15">
        <f>Balances!B$5/B12</f>
        <v>0.15952187500000001</v>
      </c>
      <c r="F12" s="15">
        <f>Balances!C$5/C12</f>
        <v>0.87329999999999997</v>
      </c>
      <c r="G12" s="15">
        <f>Balances!D$5/D12</f>
        <v>16.713222222222221</v>
      </c>
    </row>
    <row r="13" spans="1:7" x14ac:dyDescent="0.35">
      <c r="A13" s="6">
        <v>1030</v>
      </c>
      <c r="B13" s="6">
        <v>640000</v>
      </c>
      <c r="C13" s="6">
        <v>350000</v>
      </c>
      <c r="D13" s="6">
        <v>27000</v>
      </c>
      <c r="E13" s="15">
        <f>Balances!B$5/B13</f>
        <v>0.15952187500000001</v>
      </c>
      <c r="F13" s="15">
        <f>Balances!C$5/C13</f>
        <v>0.74854285714285718</v>
      </c>
      <c r="G13" s="15">
        <f>Balances!D$5/D13</f>
        <v>16.713222222222221</v>
      </c>
    </row>
    <row r="14" spans="1:7" x14ac:dyDescent="0.35">
      <c r="A14" s="6">
        <v>1025</v>
      </c>
      <c r="B14" s="6">
        <v>720000</v>
      </c>
      <c r="C14" s="6">
        <v>350000</v>
      </c>
      <c r="D14" s="6">
        <v>30000</v>
      </c>
      <c r="E14" s="15">
        <f>Balances!B$5/B14</f>
        <v>0.14179722222222221</v>
      </c>
      <c r="F14" s="15">
        <f>Balances!C$5/C14</f>
        <v>0.74854285714285718</v>
      </c>
      <c r="G14" s="15">
        <f>Balances!D$5/D14</f>
        <v>15.0419</v>
      </c>
    </row>
  </sheetData>
  <mergeCells count="1">
    <mergeCell ref="E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7A93C-B5FC-4BA5-BB13-1487C002EEE5}">
  <dimension ref="A2:I7"/>
  <sheetViews>
    <sheetView topLeftCell="C1" zoomScale="200" zoomScaleNormal="200" workbookViewId="0">
      <selection activeCell="F8" sqref="F8"/>
    </sheetView>
  </sheetViews>
  <sheetFormatPr defaultRowHeight="14.5" x14ac:dyDescent="0.35"/>
  <cols>
    <col min="4" max="4" width="11.1796875" bestFit="1" customWidth="1"/>
    <col min="5" max="5" width="8.81640625" bestFit="1" customWidth="1"/>
    <col min="6" max="6" width="10.1796875" bestFit="1" customWidth="1"/>
    <col min="7" max="8" width="11.1796875" bestFit="1" customWidth="1"/>
    <col min="9" max="9" width="10.1796875" bestFit="1" customWidth="1"/>
  </cols>
  <sheetData>
    <row r="2" spans="1:9" x14ac:dyDescent="0.35">
      <c r="A2" t="s">
        <v>30</v>
      </c>
      <c r="B2" t="s">
        <v>29</v>
      </c>
      <c r="C2" t="s">
        <v>23</v>
      </c>
      <c r="D2" t="s">
        <v>49</v>
      </c>
      <c r="E2" t="s">
        <v>50</v>
      </c>
      <c r="F2" t="s">
        <v>51</v>
      </c>
      <c r="G2" t="s">
        <v>52</v>
      </c>
      <c r="H2" t="s">
        <v>53</v>
      </c>
      <c r="I2" t="s">
        <v>54</v>
      </c>
    </row>
    <row r="3" spans="1:9" x14ac:dyDescent="0.35">
      <c r="A3" t="s">
        <v>3</v>
      </c>
      <c r="B3" t="s">
        <v>55</v>
      </c>
      <c r="C3">
        <v>2020</v>
      </c>
      <c r="D3" s="2">
        <v>192000</v>
      </c>
      <c r="E3" s="2">
        <v>0</v>
      </c>
      <c r="F3" s="2">
        <v>47434</v>
      </c>
      <c r="G3" s="2">
        <v>133174</v>
      </c>
      <c r="H3" s="2">
        <f>SUM(E3:G3)</f>
        <v>180608</v>
      </c>
      <c r="I3" s="2">
        <f>D3-H3</f>
        <v>11392</v>
      </c>
    </row>
    <row r="4" spans="1:9" x14ac:dyDescent="0.35">
      <c r="A4" t="s">
        <v>4</v>
      </c>
      <c r="C4">
        <v>2020</v>
      </c>
      <c r="D4" s="2">
        <v>0</v>
      </c>
      <c r="E4" s="2">
        <v>0</v>
      </c>
      <c r="F4" s="2">
        <v>0</v>
      </c>
      <c r="G4" s="2"/>
      <c r="H4" s="2">
        <f t="shared" ref="H4:H5" si="0">SUM(E4:G4)</f>
        <v>0</v>
      </c>
      <c r="I4" s="2">
        <f t="shared" ref="I4:I5" si="1">D4-H4</f>
        <v>0</v>
      </c>
    </row>
    <row r="5" spans="1:9" x14ac:dyDescent="0.35">
      <c r="A5" t="s">
        <v>5</v>
      </c>
      <c r="B5" t="s">
        <v>34</v>
      </c>
      <c r="C5">
        <v>2020</v>
      </c>
      <c r="D5" s="2">
        <v>8000</v>
      </c>
      <c r="E5" s="2">
        <v>0</v>
      </c>
      <c r="F5" s="2">
        <v>8000</v>
      </c>
      <c r="G5" s="2"/>
      <c r="H5" s="2">
        <f t="shared" si="0"/>
        <v>8000</v>
      </c>
      <c r="I5" s="2">
        <f t="shared" si="1"/>
        <v>0</v>
      </c>
    </row>
    <row r="7" spans="1:9" x14ac:dyDescent="0.35">
      <c r="F7" s="11">
        <f>SUM(F3:F5)</f>
        <v>55434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265CD-11FF-4B0E-A32F-7305DFCA8DC1}">
  <dimension ref="A1:H43"/>
  <sheetViews>
    <sheetView workbookViewId="0">
      <selection activeCell="A42" sqref="A42:D42"/>
    </sheetView>
  </sheetViews>
  <sheetFormatPr defaultRowHeight="14.5" x14ac:dyDescent="0.35"/>
  <cols>
    <col min="4" max="4" width="11.1796875" bestFit="1" customWidth="1"/>
    <col min="5" max="5" width="10" bestFit="1" customWidth="1"/>
  </cols>
  <sheetData>
    <row r="1" spans="1:8" x14ac:dyDescent="0.35">
      <c r="A1" t="s">
        <v>23</v>
      </c>
      <c r="B1" t="s">
        <v>29</v>
      </c>
      <c r="C1" t="s">
        <v>30</v>
      </c>
      <c r="D1" t="s">
        <v>31</v>
      </c>
    </row>
    <row r="2" spans="1:8" x14ac:dyDescent="0.35">
      <c r="A2">
        <v>2011</v>
      </c>
      <c r="B2" t="s">
        <v>35</v>
      </c>
      <c r="C2" t="s">
        <v>3</v>
      </c>
      <c r="D2" s="2">
        <f>100000+3050</f>
        <v>103050</v>
      </c>
      <c r="G2" s="2"/>
      <c r="H2" s="2"/>
    </row>
    <row r="3" spans="1:8" x14ac:dyDescent="0.35">
      <c r="A3">
        <v>2011</v>
      </c>
      <c r="B3" t="s">
        <v>32</v>
      </c>
      <c r="C3" t="s">
        <v>4</v>
      </c>
      <c r="D3" s="2">
        <f>344439+66000+24397</f>
        <v>434836</v>
      </c>
    </row>
    <row r="4" spans="1:8" x14ac:dyDescent="0.35">
      <c r="A4">
        <v>2011</v>
      </c>
      <c r="B4" t="s">
        <v>33</v>
      </c>
      <c r="C4" t="s">
        <v>4</v>
      </c>
      <c r="D4" s="2">
        <f>5842</f>
        <v>5842</v>
      </c>
    </row>
    <row r="5" spans="1:8" x14ac:dyDescent="0.35">
      <c r="A5">
        <v>2011</v>
      </c>
      <c r="B5" t="s">
        <v>34</v>
      </c>
      <c r="C5" t="s">
        <v>5</v>
      </c>
      <c r="D5" s="2">
        <f>47523+28395+3704+400000+3050</f>
        <v>482672</v>
      </c>
    </row>
    <row r="6" spans="1:8" x14ac:dyDescent="0.35">
      <c r="A6">
        <v>2010</v>
      </c>
      <c r="B6" t="s">
        <v>35</v>
      </c>
      <c r="C6" t="s">
        <v>3</v>
      </c>
      <c r="D6" s="2">
        <f>100000+2094</f>
        <v>102094</v>
      </c>
    </row>
    <row r="7" spans="1:8" x14ac:dyDescent="0.35">
      <c r="A7">
        <v>2010</v>
      </c>
      <c r="B7" t="s">
        <v>32</v>
      </c>
      <c r="C7" t="s">
        <v>4</v>
      </c>
      <c r="D7" s="2">
        <f>173217+66000+16750</f>
        <v>255967</v>
      </c>
    </row>
    <row r="8" spans="1:8" x14ac:dyDescent="0.35">
      <c r="A8">
        <v>2010</v>
      </c>
      <c r="B8" t="s">
        <v>33</v>
      </c>
      <c r="C8" t="s">
        <v>4</v>
      </c>
      <c r="D8" s="2">
        <v>6023</v>
      </c>
    </row>
    <row r="9" spans="1:8" x14ac:dyDescent="0.35">
      <c r="A9">
        <v>2010</v>
      </c>
      <c r="B9" t="s">
        <v>34</v>
      </c>
      <c r="C9" t="s">
        <v>5</v>
      </c>
      <c r="D9" s="2">
        <f>19798+28566+799+400000+2094</f>
        <v>451257</v>
      </c>
      <c r="F9" s="11"/>
    </row>
    <row r="10" spans="1:8" x14ac:dyDescent="0.35">
      <c r="A10">
        <v>2012</v>
      </c>
      <c r="B10" t="s">
        <v>35</v>
      </c>
      <c r="C10" t="s">
        <v>3</v>
      </c>
      <c r="D10" s="2">
        <f>100000+3050</f>
        <v>103050</v>
      </c>
    </row>
    <row r="11" spans="1:8" x14ac:dyDescent="0.35">
      <c r="A11">
        <v>2012</v>
      </c>
      <c r="B11" t="s">
        <v>32</v>
      </c>
      <c r="C11" t="s">
        <v>4</v>
      </c>
      <c r="D11" s="2">
        <f>489389+66000+24397</f>
        <v>579786</v>
      </c>
    </row>
    <row r="12" spans="1:8" x14ac:dyDescent="0.35">
      <c r="A12">
        <v>2012</v>
      </c>
      <c r="B12" t="s">
        <v>33</v>
      </c>
      <c r="C12" t="s">
        <v>4</v>
      </c>
      <c r="D12" s="2">
        <v>0</v>
      </c>
    </row>
    <row r="13" spans="1:8" x14ac:dyDescent="0.35">
      <c r="A13">
        <v>2012</v>
      </c>
      <c r="B13" t="s">
        <v>34</v>
      </c>
      <c r="C13" t="s">
        <v>5</v>
      </c>
      <c r="D13" s="2">
        <f>77162+29870+2722+400000+3050</f>
        <v>512804</v>
      </c>
      <c r="E13" s="11"/>
    </row>
    <row r="14" spans="1:8" x14ac:dyDescent="0.35">
      <c r="A14">
        <v>2013</v>
      </c>
      <c r="B14" t="s">
        <v>35</v>
      </c>
      <c r="C14" t="s">
        <v>3</v>
      </c>
      <c r="D14" s="2">
        <f>100000+3050</f>
        <v>103050</v>
      </c>
    </row>
    <row r="15" spans="1:8" x14ac:dyDescent="0.35">
      <c r="A15">
        <v>2013</v>
      </c>
      <c r="B15" t="s">
        <v>32</v>
      </c>
      <c r="C15" t="s">
        <v>4</v>
      </c>
      <c r="D15" s="2">
        <f>383666+66000+24397</f>
        <v>474063</v>
      </c>
    </row>
    <row r="16" spans="1:8" x14ac:dyDescent="0.35">
      <c r="A16">
        <v>2013</v>
      </c>
      <c r="B16" t="s">
        <v>33</v>
      </c>
      <c r="C16" t="s">
        <v>4</v>
      </c>
      <c r="D16" s="2">
        <v>0</v>
      </c>
    </row>
    <row r="17" spans="1:4" x14ac:dyDescent="0.35">
      <c r="A17">
        <v>2013</v>
      </c>
      <c r="B17" t="s">
        <v>34</v>
      </c>
      <c r="C17" t="s">
        <v>5</v>
      </c>
      <c r="D17" s="2">
        <f>106461+29925+1615+400000+3050</f>
        <v>541051</v>
      </c>
    </row>
    <row r="18" spans="1:4" x14ac:dyDescent="0.35">
      <c r="A18">
        <v>2014</v>
      </c>
      <c r="B18" t="s">
        <v>35</v>
      </c>
      <c r="C18" t="s">
        <v>3</v>
      </c>
      <c r="D18" s="2">
        <f>100000+3050</f>
        <v>103050</v>
      </c>
    </row>
    <row r="19" spans="1:4" x14ac:dyDescent="0.35">
      <c r="A19">
        <v>2014</v>
      </c>
      <c r="B19" t="s">
        <v>32</v>
      </c>
      <c r="C19" t="s">
        <v>4</v>
      </c>
      <c r="D19" s="2">
        <f>61764+65000+24397</f>
        <v>151161</v>
      </c>
    </row>
    <row r="20" spans="1:4" x14ac:dyDescent="0.35">
      <c r="A20">
        <v>2014</v>
      </c>
      <c r="B20" t="s">
        <v>33</v>
      </c>
      <c r="C20" t="s">
        <v>4</v>
      </c>
      <c r="D20" s="2">
        <v>17924</v>
      </c>
    </row>
    <row r="21" spans="1:4" x14ac:dyDescent="0.35">
      <c r="A21">
        <v>2014</v>
      </c>
      <c r="B21" t="s">
        <v>34</v>
      </c>
      <c r="C21" t="s">
        <v>5</v>
      </c>
      <c r="D21" s="2">
        <v>564765</v>
      </c>
    </row>
    <row r="22" spans="1:4" x14ac:dyDescent="0.35">
      <c r="A22">
        <v>2015</v>
      </c>
      <c r="B22" t="s">
        <v>35</v>
      </c>
      <c r="C22" t="s">
        <v>3</v>
      </c>
      <c r="D22" s="2">
        <f>100000+3050</f>
        <v>103050</v>
      </c>
    </row>
    <row r="23" spans="1:4" x14ac:dyDescent="0.35">
      <c r="A23">
        <v>2015</v>
      </c>
      <c r="B23" t="s">
        <v>32</v>
      </c>
      <c r="C23" t="s">
        <v>4</v>
      </c>
      <c r="D23" s="2">
        <f>56008+24397</f>
        <v>80405</v>
      </c>
    </row>
    <row r="24" spans="1:4" x14ac:dyDescent="0.35">
      <c r="A24">
        <v>2015</v>
      </c>
      <c r="B24" t="s">
        <v>33</v>
      </c>
      <c r="C24" t="s">
        <v>4</v>
      </c>
      <c r="D24" s="2">
        <v>17386</v>
      </c>
    </row>
    <row r="25" spans="1:4" x14ac:dyDescent="0.35">
      <c r="A25">
        <v>2015</v>
      </c>
      <c r="B25" t="s">
        <v>34</v>
      </c>
      <c r="C25" t="s">
        <v>5</v>
      </c>
      <c r="D25" s="2">
        <v>511023</v>
      </c>
    </row>
    <row r="26" spans="1:4" x14ac:dyDescent="0.35">
      <c r="A26">
        <v>2016</v>
      </c>
      <c r="B26" t="s">
        <v>35</v>
      </c>
      <c r="C26" t="s">
        <v>3</v>
      </c>
      <c r="D26" s="2">
        <f>100000+3050</f>
        <v>103050</v>
      </c>
    </row>
    <row r="27" spans="1:4" x14ac:dyDescent="0.35">
      <c r="A27">
        <v>2016</v>
      </c>
      <c r="B27" t="s">
        <v>32</v>
      </c>
      <c r="C27" t="s">
        <v>4</v>
      </c>
      <c r="D27" s="2">
        <f>4644+56008+24397</f>
        <v>85049</v>
      </c>
    </row>
    <row r="28" spans="1:4" x14ac:dyDescent="0.35">
      <c r="A28">
        <v>2016</v>
      </c>
      <c r="B28" t="s">
        <v>33</v>
      </c>
      <c r="C28" t="s">
        <v>4</v>
      </c>
      <c r="D28" s="2">
        <v>30017</v>
      </c>
    </row>
    <row r="29" spans="1:4" x14ac:dyDescent="0.35">
      <c r="A29">
        <v>2016</v>
      </c>
      <c r="B29" t="s">
        <v>34</v>
      </c>
      <c r="C29" t="s">
        <v>5</v>
      </c>
      <c r="D29" s="2">
        <v>531562</v>
      </c>
    </row>
    <row r="30" spans="1:4" x14ac:dyDescent="0.35">
      <c r="A30">
        <v>2017</v>
      </c>
      <c r="B30" t="s">
        <v>35</v>
      </c>
      <c r="C30" t="s">
        <v>3</v>
      </c>
      <c r="D30" s="2">
        <v>126800</v>
      </c>
    </row>
    <row r="31" spans="1:4" x14ac:dyDescent="0.35">
      <c r="A31">
        <v>2017</v>
      </c>
      <c r="B31" t="s">
        <v>32</v>
      </c>
      <c r="C31" t="s">
        <v>4</v>
      </c>
      <c r="D31" s="2">
        <v>478628</v>
      </c>
    </row>
    <row r="32" spans="1:4" x14ac:dyDescent="0.35">
      <c r="A32">
        <v>2017</v>
      </c>
      <c r="B32" t="s">
        <v>33</v>
      </c>
      <c r="C32" t="s">
        <v>4</v>
      </c>
      <c r="D32" s="2">
        <v>73750</v>
      </c>
    </row>
    <row r="33" spans="1:4" x14ac:dyDescent="0.35">
      <c r="A33">
        <v>2017</v>
      </c>
      <c r="B33" t="s">
        <v>34</v>
      </c>
      <c r="C33" t="s">
        <v>5</v>
      </c>
      <c r="D33" s="2">
        <v>582313</v>
      </c>
    </row>
    <row r="34" spans="1:4" x14ac:dyDescent="0.35">
      <c r="A34">
        <v>2018</v>
      </c>
      <c r="B34" t="s">
        <v>35</v>
      </c>
      <c r="C34" t="s">
        <v>3</v>
      </c>
      <c r="D34" s="2">
        <v>343052</v>
      </c>
    </row>
    <row r="35" spans="1:4" x14ac:dyDescent="0.35">
      <c r="A35">
        <v>2018</v>
      </c>
      <c r="B35" t="s">
        <v>32</v>
      </c>
      <c r="C35" t="s">
        <v>4</v>
      </c>
      <c r="D35" s="2">
        <v>624682</v>
      </c>
    </row>
    <row r="36" spans="1:4" x14ac:dyDescent="0.35">
      <c r="A36">
        <v>2018</v>
      </c>
      <c r="B36" t="s">
        <v>33</v>
      </c>
      <c r="C36" t="s">
        <v>4</v>
      </c>
      <c r="D36" s="2">
        <v>73750</v>
      </c>
    </row>
    <row r="37" spans="1:4" x14ac:dyDescent="0.35">
      <c r="A37">
        <v>2018</v>
      </c>
      <c r="B37" t="s">
        <v>34</v>
      </c>
      <c r="C37" t="s">
        <v>5</v>
      </c>
      <c r="D37" s="2">
        <v>700448</v>
      </c>
    </row>
    <row r="38" spans="1:4" x14ac:dyDescent="0.35">
      <c r="A38">
        <v>2019</v>
      </c>
      <c r="B38" t="s">
        <v>35</v>
      </c>
      <c r="C38" t="s">
        <v>3</v>
      </c>
      <c r="D38" s="2">
        <v>362557</v>
      </c>
    </row>
    <row r="39" spans="1:4" x14ac:dyDescent="0.35">
      <c r="A39">
        <v>2019</v>
      </c>
      <c r="B39" t="s">
        <v>36</v>
      </c>
      <c r="C39" t="s">
        <v>3</v>
      </c>
      <c r="D39" s="2">
        <v>5647</v>
      </c>
    </row>
    <row r="40" spans="1:4" x14ac:dyDescent="0.35">
      <c r="A40">
        <v>2019</v>
      </c>
      <c r="B40" t="s">
        <v>37</v>
      </c>
      <c r="C40" t="s">
        <v>3</v>
      </c>
      <c r="D40" s="2">
        <v>105300</v>
      </c>
    </row>
    <row r="41" spans="1:4" x14ac:dyDescent="0.35">
      <c r="A41">
        <v>2019</v>
      </c>
      <c r="B41" t="s">
        <v>32</v>
      </c>
      <c r="C41" t="s">
        <v>4</v>
      </c>
      <c r="D41" s="2">
        <v>979460</v>
      </c>
    </row>
    <row r="42" spans="1:4" x14ac:dyDescent="0.35">
      <c r="A42">
        <v>2019</v>
      </c>
      <c r="B42" t="s">
        <v>33</v>
      </c>
      <c r="C42" t="s">
        <v>4</v>
      </c>
      <c r="D42" s="2">
        <v>73750</v>
      </c>
    </row>
    <row r="43" spans="1:4" x14ac:dyDescent="0.35">
      <c r="A43">
        <v>2019</v>
      </c>
      <c r="B43" t="s">
        <v>34</v>
      </c>
      <c r="C43" t="s">
        <v>5</v>
      </c>
      <c r="D43" s="2">
        <v>785913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Balances</vt:lpstr>
      <vt:lpstr>Deposits</vt:lpstr>
      <vt:lpstr>Capacities</vt:lpstr>
      <vt:lpstr>ICStoDCP</vt:lpstr>
      <vt:lpstr>DCPLogs</vt:lpstr>
      <vt:lpstr>By User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drosenberg</dc:creator>
  <cp:lastModifiedBy>David Rosenberg</cp:lastModifiedBy>
  <dcterms:created xsi:type="dcterms:W3CDTF">2019-03-14T05:28:40Z</dcterms:created>
  <dcterms:modified xsi:type="dcterms:W3CDTF">2026-01-12T21:14:45Z</dcterms:modified>
</cp:coreProperties>
</file>