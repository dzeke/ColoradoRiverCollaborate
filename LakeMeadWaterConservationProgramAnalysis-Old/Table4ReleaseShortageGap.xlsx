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Rosenberg\Work\USU\Research\ColoradoRiver\RCode\ColoradoRiverCollaborate\LakeMeadWaterConservationProgramAnalysis\"/>
    </mc:Choice>
  </mc:AlternateContent>
  <xr:revisionPtr revIDLastSave="0" documentId="13_ncr:1_{965A58C1-EBC7-4AB5-8052-65F942A61827}" xr6:coauthVersionLast="47" xr6:coauthVersionMax="47" xr10:uidLastSave="{00000000-0000-0000-0000-000000000000}"/>
  <bookViews>
    <workbookView xWindow="-577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F15" i="1"/>
  <c r="G15" i="1"/>
  <c r="H15" i="1"/>
  <c r="I15" i="1"/>
  <c r="F16" i="1"/>
  <c r="G16" i="1"/>
  <c r="H16" i="1"/>
  <c r="I16" i="1"/>
  <c r="F17" i="1"/>
  <c r="G17" i="1"/>
  <c r="H17" i="1"/>
  <c r="I17" i="1"/>
  <c r="F18" i="1"/>
  <c r="G18" i="1"/>
  <c r="H18" i="1"/>
  <c r="I18" i="1"/>
  <c r="G14" i="1"/>
  <c r="H14" i="1"/>
  <c r="I14" i="1"/>
  <c r="F14" i="1"/>
  <c r="G12" i="1"/>
  <c r="H12" i="1"/>
  <c r="I12" i="1"/>
  <c r="F12" i="1"/>
  <c r="F8" i="1"/>
  <c r="G6" i="1"/>
  <c r="G8" i="1" s="1"/>
  <c r="D15" i="1"/>
  <c r="D16" i="1" s="1"/>
  <c r="D17" i="1" s="1"/>
  <c r="D18" i="1" s="1"/>
  <c r="B15" i="1"/>
  <c r="B16" i="1" s="1"/>
  <c r="B17" i="1" s="1"/>
  <c r="B18" i="1" s="1"/>
  <c r="C18" i="1" s="1"/>
  <c r="C14" i="1"/>
  <c r="E14" i="1" s="1"/>
  <c r="H6" i="1" l="1"/>
  <c r="C15" i="1"/>
  <c r="E15" i="1" s="1"/>
  <c r="E18" i="1"/>
  <c r="C17" i="1"/>
  <c r="E17" i="1" s="1"/>
  <c r="C16" i="1"/>
  <c r="E16" i="1" s="1"/>
  <c r="H8" i="1" l="1"/>
  <c r="I6" i="1"/>
  <c r="I8" i="1" s="1"/>
</calcChain>
</file>

<file path=xl/sharedStrings.xml><?xml version="1.0" encoding="utf-8"?>
<sst xmlns="http://schemas.openxmlformats.org/spreadsheetml/2006/main" count="23" uniqueCount="23">
  <si>
    <t>Lake Mead Conservation Program Analysis</t>
  </si>
  <si>
    <t>This table identifies conditions of Lake Powell release, Grand Canyon Gain, Lake Mead Inflow, Lake Evaporation, and Physcial Available Water where mandatory cuts are insufficient</t>
  </si>
  <si>
    <t>Grand Canyon Gain</t>
  </si>
  <si>
    <t>Mead Evaporation</t>
  </si>
  <si>
    <t>Lake Mead Inflow</t>
  </si>
  <si>
    <t>Physically Available Water</t>
  </si>
  <si>
    <t>Lake Powell Release</t>
  </si>
  <si>
    <t>[A]</t>
  </si>
  <si>
    <t>[B]</t>
  </si>
  <si>
    <t>[C] = [A]+[B]</t>
  </si>
  <si>
    <t>[D]</t>
  </si>
  <si>
    <t>[E] = [C]-[D]</t>
  </si>
  <si>
    <t>Shortage</t>
  </si>
  <si>
    <t>Invalid</t>
  </si>
  <si>
    <t>Historical Entitlement</t>
  </si>
  <si>
    <t>Max consumption</t>
  </si>
  <si>
    <t>[F]</t>
  </si>
  <si>
    <t>[G]</t>
  </si>
  <si>
    <t>[H]</t>
  </si>
  <si>
    <t>[I]</t>
  </si>
  <si>
    <t>Yes</t>
  </si>
  <si>
    <t>Table. Conditions of Lake Powell releases and Lower Basin shortages where there is sufficient physically available water to award all credits. When there is insufficient water, the gap is calculated. All columns million acre-feet per year.</t>
  </si>
  <si>
    <t>Anabelle Myers &lt;a02369941@usu.edu&gt;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</si>
</sst>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0" fillId="2" borderId="4" xfId="0"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2" borderId="2" xfId="0" applyFont="1" applyFill="1" applyBorder="1" applyAlignment="1">
      <alignment horizontal="center" wrapText="1"/>
    </xf>
    <xf numFmtId="0" fontId="0" fillId="2"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zoomScale="170" zoomScaleNormal="170" workbookViewId="0">
      <selection activeCell="A10" sqref="A10"/>
    </sheetView>
  </sheetViews>
  <sheetFormatPr defaultRowHeight="14.5" x14ac:dyDescent="0.35"/>
  <cols>
    <col min="1" max="1" width="8.453125" customWidth="1"/>
    <col min="2" max="2" width="7.1796875" customWidth="1"/>
    <col min="3" max="3" width="11.08984375" customWidth="1"/>
    <col min="4" max="4" width="12" customWidth="1"/>
    <col min="5" max="5" width="10.7265625" customWidth="1"/>
    <col min="6" max="6" width="10.08984375" customWidth="1"/>
    <col min="7" max="7" width="10.26953125" customWidth="1"/>
  </cols>
  <sheetData>
    <row r="1" spans="1:13" x14ac:dyDescent="0.35">
      <c r="A1" s="1" t="s">
        <v>0</v>
      </c>
    </row>
    <row r="3" spans="1:13" x14ac:dyDescent="0.35">
      <c r="A3" t="s">
        <v>1</v>
      </c>
    </row>
    <row r="6" spans="1:13" x14ac:dyDescent="0.35">
      <c r="E6" t="s">
        <v>14</v>
      </c>
      <c r="F6" s="2">
        <v>9</v>
      </c>
      <c r="G6" s="2">
        <f>F6</f>
        <v>9</v>
      </c>
      <c r="H6" s="2">
        <f t="shared" ref="H6:I6" si="0">G6</f>
        <v>9</v>
      </c>
      <c r="I6" s="2">
        <f t="shared" si="0"/>
        <v>9</v>
      </c>
    </row>
    <row r="7" spans="1:13" x14ac:dyDescent="0.35">
      <c r="E7" t="s">
        <v>12</v>
      </c>
      <c r="F7" s="2">
        <v>1.5</v>
      </c>
      <c r="G7" s="2">
        <v>2</v>
      </c>
      <c r="H7" s="2">
        <v>3</v>
      </c>
      <c r="I7" s="2">
        <v>4</v>
      </c>
      <c r="L7" t="s">
        <v>22</v>
      </c>
    </row>
    <row r="8" spans="1:13" x14ac:dyDescent="0.35">
      <c r="E8" t="s">
        <v>15</v>
      </c>
      <c r="F8" s="2">
        <f>F6-F7</f>
        <v>7.5</v>
      </c>
      <c r="G8" s="2">
        <f t="shared" ref="G8:I8" si="1">G6-G7</f>
        <v>7</v>
      </c>
      <c r="H8" s="2">
        <f t="shared" si="1"/>
        <v>6</v>
      </c>
      <c r="I8" s="2">
        <f t="shared" si="1"/>
        <v>5</v>
      </c>
    </row>
    <row r="10" spans="1:13" x14ac:dyDescent="0.35">
      <c r="A10" t="s">
        <v>21</v>
      </c>
    </row>
    <row r="11" spans="1:13" ht="30" customHeight="1" x14ac:dyDescent="0.35">
      <c r="A11" s="4" t="s">
        <v>6</v>
      </c>
      <c r="B11" s="4" t="s">
        <v>2</v>
      </c>
      <c r="C11" s="4" t="s">
        <v>4</v>
      </c>
      <c r="D11" s="4" t="s">
        <v>3</v>
      </c>
      <c r="E11" s="4" t="s">
        <v>5</v>
      </c>
      <c r="F11" s="7" t="str">
        <f>"Total Shortage" &amp; CHAR(10) &amp; "(Total Legal Entitlements - Total Shortages)"</f>
        <v>Total Shortage
(Total Legal Entitlements - Total Shortages)</v>
      </c>
      <c r="G11" s="8"/>
      <c r="H11" s="8"/>
      <c r="I11" s="9"/>
    </row>
    <row r="12" spans="1:13" ht="31" customHeight="1" x14ac:dyDescent="0.35">
      <c r="A12" s="5"/>
      <c r="B12" s="5"/>
      <c r="C12" s="5"/>
      <c r="D12" s="5"/>
      <c r="E12" s="5"/>
      <c r="F12" s="10" t="str">
        <f>TEXT(F7,"0.0") &amp; CHAR(10) &amp; "(" &amp; TEXT(F8,"0.0") &amp;")"</f>
        <v>1.5
(7.5)</v>
      </c>
      <c r="G12" s="10" t="str">
        <f t="shared" ref="G12:I12" si="2">TEXT(G7,"0.0") &amp; CHAR(10) &amp; "(" &amp; TEXT(G8,"0.0") &amp;")"</f>
        <v>2.0
(7.0)</v>
      </c>
      <c r="H12" s="10" t="str">
        <f t="shared" si="2"/>
        <v>3.0
(6.0)</v>
      </c>
      <c r="I12" s="10" t="str">
        <f t="shared" si="2"/>
        <v>4.0
(5.0)</v>
      </c>
    </row>
    <row r="13" spans="1:13" ht="15.5" customHeight="1" x14ac:dyDescent="0.35">
      <c r="A13" s="6" t="s">
        <v>7</v>
      </c>
      <c r="B13" s="6" t="s">
        <v>8</v>
      </c>
      <c r="C13" s="6" t="s">
        <v>9</v>
      </c>
      <c r="D13" s="6" t="s">
        <v>10</v>
      </c>
      <c r="E13" s="6" t="s">
        <v>11</v>
      </c>
      <c r="F13" s="11" t="s">
        <v>16</v>
      </c>
      <c r="G13" s="11" t="s">
        <v>17</v>
      </c>
      <c r="H13" s="11" t="s">
        <v>18</v>
      </c>
      <c r="I13" s="11" t="s">
        <v>19</v>
      </c>
    </row>
    <row r="14" spans="1:13" x14ac:dyDescent="0.35">
      <c r="A14" s="3">
        <v>7.5</v>
      </c>
      <c r="B14" s="3">
        <v>0.6</v>
      </c>
      <c r="C14" s="3">
        <f>A14+B14</f>
        <v>8.1</v>
      </c>
      <c r="D14" s="3">
        <v>0.2</v>
      </c>
      <c r="E14" s="3">
        <f>C14-D14</f>
        <v>7.8999999999999995</v>
      </c>
      <c r="F14" s="3" t="str">
        <f>IF($E14&gt;F$8,$L$14,F$8-$E14)</f>
        <v>Yes</v>
      </c>
      <c r="G14" s="3" t="str">
        <f t="shared" ref="G14:I18" si="3">IF($E14&gt;G$8,$L$14,G$8-$E14)</f>
        <v>Yes</v>
      </c>
      <c r="H14" s="3" t="str">
        <f t="shared" si="3"/>
        <v>Yes</v>
      </c>
      <c r="I14" s="3" t="str">
        <f t="shared" si="3"/>
        <v>Yes</v>
      </c>
      <c r="L14" t="s">
        <v>20</v>
      </c>
      <c r="M14" t="s">
        <v>13</v>
      </c>
    </row>
    <row r="15" spans="1:13" x14ac:dyDescent="0.35">
      <c r="A15" s="3">
        <v>7</v>
      </c>
      <c r="B15" s="3">
        <f>B14</f>
        <v>0.6</v>
      </c>
      <c r="C15" s="3">
        <f t="shared" ref="C15" si="4">A15+B15</f>
        <v>7.6</v>
      </c>
      <c r="D15" s="3">
        <f>D14</f>
        <v>0.2</v>
      </c>
      <c r="E15" s="3">
        <f t="shared" ref="E15" si="5">C15-D15</f>
        <v>7.3999999999999995</v>
      </c>
      <c r="F15" s="3">
        <f t="shared" ref="F15:F18" si="6">IF($E15&gt;F$8,$L$14,F$8-$E15)</f>
        <v>0.10000000000000053</v>
      </c>
      <c r="G15" s="3" t="str">
        <f t="shared" si="3"/>
        <v>Yes</v>
      </c>
      <c r="H15" s="3" t="str">
        <f t="shared" si="3"/>
        <v>Yes</v>
      </c>
      <c r="I15" s="3" t="str">
        <f t="shared" si="3"/>
        <v>Yes</v>
      </c>
    </row>
    <row r="16" spans="1:13" x14ac:dyDescent="0.35">
      <c r="A16" s="3">
        <v>6</v>
      </c>
      <c r="B16" s="3">
        <f t="shared" ref="B16:B18" si="7">B15</f>
        <v>0.6</v>
      </c>
      <c r="C16" s="3">
        <f t="shared" ref="C16:C18" si="8">A16+B16</f>
        <v>6.6</v>
      </c>
      <c r="D16" s="3">
        <f t="shared" ref="D16:D18" si="9">D15</f>
        <v>0.2</v>
      </c>
      <c r="E16" s="3">
        <f t="shared" ref="E16:E18" si="10">C16-D16</f>
        <v>6.3999999999999995</v>
      </c>
      <c r="F16" s="3">
        <f t="shared" si="6"/>
        <v>1.1000000000000005</v>
      </c>
      <c r="G16" s="3">
        <f t="shared" si="3"/>
        <v>0.60000000000000053</v>
      </c>
      <c r="H16" s="3" t="str">
        <f t="shared" si="3"/>
        <v>Yes</v>
      </c>
      <c r="I16" s="3" t="str">
        <f t="shared" si="3"/>
        <v>Yes</v>
      </c>
    </row>
    <row r="17" spans="1:9" x14ac:dyDescent="0.35">
      <c r="A17" s="3">
        <v>5</v>
      </c>
      <c r="B17" s="3">
        <f t="shared" si="7"/>
        <v>0.6</v>
      </c>
      <c r="C17" s="3">
        <f t="shared" si="8"/>
        <v>5.6</v>
      </c>
      <c r="D17" s="3">
        <f t="shared" si="9"/>
        <v>0.2</v>
      </c>
      <c r="E17" s="3">
        <f t="shared" si="10"/>
        <v>5.3999999999999995</v>
      </c>
      <c r="F17" s="3">
        <f t="shared" si="6"/>
        <v>2.1000000000000005</v>
      </c>
      <c r="G17" s="3">
        <f t="shared" si="3"/>
        <v>1.6000000000000005</v>
      </c>
      <c r="H17" s="3">
        <f t="shared" si="3"/>
        <v>0.60000000000000053</v>
      </c>
      <c r="I17" s="3" t="str">
        <f t="shared" si="3"/>
        <v>Yes</v>
      </c>
    </row>
    <row r="18" spans="1:9" x14ac:dyDescent="0.35">
      <c r="A18" s="3">
        <v>4</v>
      </c>
      <c r="B18" s="3">
        <f t="shared" si="7"/>
        <v>0.6</v>
      </c>
      <c r="C18" s="3">
        <f t="shared" si="8"/>
        <v>4.5999999999999996</v>
      </c>
      <c r="D18" s="3">
        <f t="shared" si="9"/>
        <v>0.2</v>
      </c>
      <c r="E18" s="3">
        <f t="shared" si="10"/>
        <v>4.3999999999999995</v>
      </c>
      <c r="F18" s="3">
        <f t="shared" si="6"/>
        <v>3.1000000000000005</v>
      </c>
      <c r="G18" s="3">
        <f t="shared" si="3"/>
        <v>2.6000000000000005</v>
      </c>
      <c r="H18" s="3">
        <f t="shared" si="3"/>
        <v>1.6000000000000005</v>
      </c>
      <c r="I18" s="3">
        <f t="shared" si="3"/>
        <v>0.60000000000000053</v>
      </c>
    </row>
  </sheetData>
  <mergeCells count="6">
    <mergeCell ref="F11:I11"/>
    <mergeCell ref="A11:A12"/>
    <mergeCell ref="B11:B12"/>
    <mergeCell ref="C11:C12"/>
    <mergeCell ref="D11:D12"/>
    <mergeCell ref="E11: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Rosenberg</dc:creator>
  <cp:lastModifiedBy>David Rosenberg</cp:lastModifiedBy>
  <dcterms:created xsi:type="dcterms:W3CDTF">2015-06-05T18:17:20Z</dcterms:created>
  <dcterms:modified xsi:type="dcterms:W3CDTF">2026-05-22T22:43:26Z</dcterms:modified>
</cp:coreProperties>
</file>