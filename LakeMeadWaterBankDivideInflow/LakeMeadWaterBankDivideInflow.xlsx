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ColoradoRiverCollaborate/LakeMeadWaterBankDivideInflow/"/>
    </mc:Choice>
  </mc:AlternateContent>
  <xr:revisionPtr revIDLastSave="0" documentId="13_ncr:1_{D7F36832-2268-5242-BD90-69BD9CC2C436}" xr6:coauthVersionLast="47" xr6:coauthVersionMax="47" xr10:uidLastSave="{00000000-0000-0000-0000-000000000000}"/>
  <bookViews>
    <workbookView xWindow="0" yWindow="0" windowWidth="28800" windowHeight="18000" activeTab="2"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sharedStrings.xml><?xml version="1.0" encoding="utf-8"?>
<sst xmlns="http://schemas.openxmlformats.org/spreadsheetml/2006/main" count="685" uniqueCount="477">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</sst>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7">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0" fillId="7" borderId="0" xfId="0" applyFill="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xf numFmtId="0" fontId="0" fillId="0" borderId="0" xfId="0" applyFont="1"/>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5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13</xdr:row>
      <xdr:rowOff>11906</xdr:rowOff>
    </xdr:from>
    <xdr:to>
      <xdr:col>9</xdr:col>
      <xdr:colOff>406644</xdr:colOff>
      <xdr:row>14</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11</xdr:row>
      <xdr:rowOff>46832</xdr:rowOff>
    </xdr:from>
    <xdr:to>
      <xdr:col>4</xdr:col>
      <xdr:colOff>121840</xdr:colOff>
      <xdr:row>11</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1336343</xdr:colOff>
      <xdr:row>14</xdr:row>
      <xdr:rowOff>261635</xdr:rowOff>
    </xdr:from>
    <xdr:to>
      <xdr:col>6</xdr:col>
      <xdr:colOff>483358</xdr:colOff>
      <xdr:row>15</xdr:row>
      <xdr:rowOff>3301237</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601716" y="6412605"/>
          <a:ext cx="3686791" cy="3409229"/>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dzeke/ColoradoRiverCollaborate/blob/main/LakeMeadWaterBankDivideInflow/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88"/>
  <sheetViews>
    <sheetView zoomScale="117" zoomScaleNormal="170" workbookViewId="0">
      <selection activeCell="A44" sqref="A44:L44"/>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48" t="s">
        <v>295</v>
      </c>
      <c r="B1" s="348"/>
      <c r="C1" s="348"/>
      <c r="D1" s="348"/>
      <c r="E1" s="348"/>
      <c r="F1" s="348"/>
      <c r="G1" s="348"/>
      <c r="H1" s="348"/>
      <c r="I1" s="348"/>
      <c r="J1" s="348"/>
      <c r="K1" s="348"/>
      <c r="L1" s="348"/>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49" t="s">
        <v>296</v>
      </c>
      <c r="B4" s="350"/>
      <c r="C4" s="350"/>
      <c r="D4" s="350"/>
      <c r="E4" s="350"/>
      <c r="F4" s="350"/>
      <c r="G4" s="350"/>
      <c r="H4" s="350"/>
      <c r="I4" s="350"/>
      <c r="J4" s="350"/>
      <c r="K4" s="350"/>
      <c r="L4" s="351"/>
      <c r="N4" s="352"/>
      <c r="O4" s="352"/>
      <c r="P4" s="352"/>
      <c r="Q4" s="352"/>
      <c r="R4" s="352"/>
    </row>
    <row r="5" spans="1:18" s="52" customFormat="1" ht="35" customHeight="1" x14ac:dyDescent="0.2">
      <c r="A5" s="353" t="s">
        <v>280</v>
      </c>
      <c r="B5" s="354"/>
      <c r="C5" s="354"/>
      <c r="D5" s="354"/>
      <c r="E5" s="354"/>
      <c r="F5" s="354"/>
      <c r="G5" s="354"/>
      <c r="H5" s="354"/>
      <c r="I5" s="354"/>
      <c r="J5" s="354"/>
      <c r="K5" s="354"/>
      <c r="L5" s="355"/>
      <c r="N5" s="110"/>
      <c r="O5" s="110"/>
      <c r="P5" s="110"/>
      <c r="Q5" s="110"/>
      <c r="R5" s="110"/>
    </row>
    <row r="6" spans="1:18" s="52" customFormat="1" ht="14" customHeight="1" x14ac:dyDescent="0.2">
      <c r="A6" s="353" t="s">
        <v>297</v>
      </c>
      <c r="B6" s="354"/>
      <c r="C6" s="354"/>
      <c r="D6" s="354"/>
      <c r="E6" s="354"/>
      <c r="F6" s="354"/>
      <c r="G6" s="354"/>
      <c r="H6" s="354"/>
      <c r="I6" s="354"/>
      <c r="J6" s="354"/>
      <c r="K6" s="354"/>
      <c r="L6" s="355"/>
      <c r="N6" s="110"/>
      <c r="O6" s="110"/>
      <c r="P6" s="110"/>
      <c r="Q6" s="110"/>
      <c r="R6" s="110"/>
    </row>
    <row r="7" spans="1:18" s="52" customFormat="1" ht="14" customHeight="1" x14ac:dyDescent="0.2">
      <c r="A7" s="214"/>
      <c r="B7" s="354" t="s">
        <v>298</v>
      </c>
      <c r="C7" s="354"/>
      <c r="D7" s="354"/>
      <c r="E7" s="354"/>
      <c r="F7" s="354"/>
      <c r="G7" s="354"/>
      <c r="H7" s="354"/>
      <c r="I7" s="354"/>
      <c r="J7" s="354"/>
      <c r="K7" s="354"/>
      <c r="L7" s="355"/>
      <c r="N7" s="110"/>
      <c r="O7" s="110"/>
      <c r="P7" s="110"/>
      <c r="Q7" s="110"/>
      <c r="R7" s="110"/>
    </row>
    <row r="8" spans="1:18" s="52" customFormat="1" ht="14" customHeight="1" x14ac:dyDescent="0.2">
      <c r="A8" s="215"/>
      <c r="B8" s="370" t="s">
        <v>299</v>
      </c>
      <c r="C8" s="370"/>
      <c r="D8" s="370"/>
      <c r="E8" s="370"/>
      <c r="F8" s="370"/>
      <c r="G8" s="370"/>
      <c r="H8" s="370"/>
      <c r="I8" s="370"/>
      <c r="J8" s="370"/>
      <c r="K8" s="370"/>
      <c r="L8" s="371"/>
      <c r="N8" s="110"/>
      <c r="O8" s="110"/>
      <c r="P8" s="110"/>
      <c r="Q8" s="110"/>
      <c r="R8" s="110"/>
    </row>
    <row r="9" spans="1:18" s="57" customFormat="1" ht="14.5" customHeight="1" x14ac:dyDescent="0.2">
      <c r="A9" s="110"/>
      <c r="B9" s="110"/>
      <c r="C9" s="110"/>
      <c r="D9" s="110"/>
      <c r="E9" s="110"/>
      <c r="F9" s="110"/>
      <c r="G9" s="110"/>
      <c r="H9" s="110"/>
      <c r="I9" s="110"/>
      <c r="J9" s="110"/>
      <c r="K9" s="110"/>
      <c r="L9" s="110"/>
    </row>
    <row r="10" spans="1:18" s="57" customFormat="1" ht="14.5" customHeight="1" x14ac:dyDescent="0.2">
      <c r="A10" s="372" t="s">
        <v>334</v>
      </c>
      <c r="B10" s="373"/>
      <c r="C10" s="373"/>
      <c r="D10" s="373"/>
      <c r="E10" s="373"/>
      <c r="F10" s="373"/>
      <c r="G10" s="373"/>
      <c r="H10" s="373"/>
      <c r="I10" s="373"/>
      <c r="J10" s="373"/>
      <c r="K10" s="373"/>
      <c r="L10" s="374"/>
    </row>
    <row r="11" spans="1:18" s="56" customFormat="1" ht="14.5" customHeight="1" x14ac:dyDescent="0.2">
      <c r="A11" s="235" t="s">
        <v>335</v>
      </c>
      <c r="B11" s="375" t="s">
        <v>338</v>
      </c>
      <c r="C11" s="375"/>
      <c r="D11" s="375"/>
      <c r="E11" s="375"/>
      <c r="F11" s="375"/>
      <c r="G11" s="375"/>
      <c r="H11" s="375"/>
      <c r="I11" s="375"/>
      <c r="J11" s="375"/>
      <c r="K11" s="375"/>
      <c r="L11" s="376"/>
    </row>
    <row r="12" spans="1:18" s="57" customFormat="1" ht="161.5" customHeight="1" x14ac:dyDescent="0.2">
      <c r="A12" s="227"/>
      <c r="B12" s="233"/>
      <c r="C12" s="233"/>
      <c r="D12" s="233"/>
      <c r="E12" s="233"/>
      <c r="F12" s="233"/>
      <c r="G12" s="233"/>
      <c r="H12" s="233"/>
      <c r="I12" s="233"/>
      <c r="J12" s="233"/>
      <c r="K12" s="233"/>
      <c r="L12" s="234"/>
    </row>
    <row r="13" spans="1:18" s="56" customFormat="1" ht="14.5" customHeight="1" x14ac:dyDescent="0.2">
      <c r="A13" s="235" t="s">
        <v>336</v>
      </c>
      <c r="B13" s="375" t="s">
        <v>339</v>
      </c>
      <c r="C13" s="375"/>
      <c r="D13" s="375"/>
      <c r="E13" s="375"/>
      <c r="F13" s="375"/>
      <c r="G13" s="375"/>
      <c r="H13" s="375"/>
      <c r="I13" s="375"/>
      <c r="J13" s="375"/>
      <c r="K13" s="375"/>
      <c r="L13" s="376"/>
    </row>
    <row r="14" spans="1:18" s="57" customFormat="1" ht="90.5" customHeight="1" x14ac:dyDescent="0.2">
      <c r="A14" s="227"/>
      <c r="B14" s="386"/>
      <c r="C14" s="386"/>
      <c r="D14" s="386"/>
      <c r="E14" s="386"/>
      <c r="F14" s="386"/>
      <c r="G14" s="386"/>
      <c r="H14" s="386"/>
      <c r="I14" s="386"/>
      <c r="J14" s="386"/>
      <c r="K14" s="386"/>
      <c r="L14" s="387"/>
    </row>
    <row r="15" spans="1:18" s="56" customFormat="1" ht="29" customHeight="1" x14ac:dyDescent="0.2">
      <c r="A15" s="235" t="s">
        <v>337</v>
      </c>
      <c r="B15" s="375" t="s">
        <v>465</v>
      </c>
      <c r="C15" s="375"/>
      <c r="D15" s="375"/>
      <c r="E15" s="375"/>
      <c r="F15" s="375"/>
      <c r="G15" s="375"/>
      <c r="H15" s="375"/>
      <c r="I15" s="375"/>
      <c r="J15" s="375"/>
      <c r="K15" s="375"/>
      <c r="L15" s="376"/>
    </row>
    <row r="16" spans="1:18" s="57" customFormat="1" ht="269" customHeight="1" x14ac:dyDescent="0.2">
      <c r="A16" s="227"/>
      <c r="B16" s="233"/>
      <c r="C16" s="233"/>
      <c r="D16" s="233"/>
      <c r="E16" s="233"/>
      <c r="F16" s="233"/>
      <c r="G16" s="233"/>
      <c r="H16" s="233"/>
      <c r="I16" s="233"/>
      <c r="J16" s="233"/>
      <c r="K16" s="233"/>
      <c r="L16" s="234"/>
    </row>
    <row r="17" spans="1:14" s="57" customFormat="1" ht="14.5" customHeight="1" x14ac:dyDescent="0.2">
      <c r="A17" s="384" t="s">
        <v>343</v>
      </c>
      <c r="B17" s="385"/>
      <c r="C17" s="385"/>
      <c r="D17" s="385"/>
      <c r="E17" s="232" t="s">
        <v>344</v>
      </c>
      <c r="F17" s="230"/>
      <c r="G17" s="230"/>
      <c r="H17" s="230"/>
      <c r="I17" s="230"/>
      <c r="J17" s="230"/>
      <c r="K17" s="230"/>
      <c r="L17" s="231"/>
    </row>
    <row r="18" spans="1:14" s="57" customFormat="1" ht="14.5" customHeight="1" x14ac:dyDescent="0.2">
      <c r="A18" s="110"/>
      <c r="B18" s="110"/>
      <c r="C18" s="110"/>
      <c r="D18" s="110"/>
      <c r="E18" s="110"/>
      <c r="F18" s="110"/>
      <c r="G18" s="110"/>
      <c r="H18" s="110"/>
      <c r="I18" s="110"/>
      <c r="J18" s="110"/>
      <c r="K18" s="110"/>
      <c r="L18" s="110"/>
    </row>
    <row r="19" spans="1:14" s="57" customFormat="1" ht="14.5" customHeight="1" x14ac:dyDescent="0.2">
      <c r="A19" s="356" t="s">
        <v>165</v>
      </c>
      <c r="B19" s="357"/>
      <c r="C19" s="357"/>
      <c r="D19" s="357"/>
      <c r="E19" s="357"/>
      <c r="F19" s="357"/>
      <c r="G19" s="357"/>
      <c r="H19" s="357"/>
      <c r="I19" s="357"/>
      <c r="J19" s="357"/>
      <c r="K19" s="357"/>
      <c r="L19" s="358"/>
    </row>
    <row r="20" spans="1:14" s="57" customFormat="1" ht="14.5" customHeight="1" x14ac:dyDescent="0.2">
      <c r="A20" s="359" t="s">
        <v>281</v>
      </c>
      <c r="B20" s="360"/>
      <c r="C20" s="360"/>
      <c r="D20" s="360"/>
      <c r="E20" s="360"/>
      <c r="F20" s="360"/>
      <c r="G20" s="360"/>
      <c r="H20" s="360"/>
      <c r="I20" s="360"/>
      <c r="J20" s="360"/>
      <c r="K20" s="360"/>
      <c r="L20" s="361"/>
    </row>
    <row r="21" spans="1:14" s="57" customFormat="1" ht="14.5" customHeight="1" x14ac:dyDescent="0.2">
      <c r="A21" s="362" t="s">
        <v>282</v>
      </c>
      <c r="B21" s="342"/>
      <c r="C21" s="342"/>
      <c r="D21" s="342"/>
      <c r="E21" s="342"/>
      <c r="F21" s="342"/>
      <c r="G21" s="342"/>
      <c r="H21" s="342"/>
      <c r="I21" s="342"/>
      <c r="J21" s="342"/>
      <c r="K21" s="342"/>
      <c r="L21" s="363"/>
    </row>
    <row r="22" spans="1:14" s="57" customFormat="1" ht="14.5" customHeight="1" x14ac:dyDescent="0.2">
      <c r="A22" s="362" t="s">
        <v>166</v>
      </c>
      <c r="B22" s="342"/>
      <c r="C22" s="342"/>
      <c r="D22" s="342"/>
      <c r="E22" s="342"/>
      <c r="F22" s="342"/>
      <c r="G22" s="342"/>
      <c r="H22" s="342"/>
      <c r="I22" s="342"/>
      <c r="J22" s="342"/>
      <c r="K22" s="342"/>
      <c r="L22" s="363"/>
    </row>
    <row r="23" spans="1:14" s="57" customFormat="1" ht="14.5" customHeight="1" x14ac:dyDescent="0.2">
      <c r="A23" s="364" t="s">
        <v>283</v>
      </c>
      <c r="B23" s="365"/>
      <c r="C23" s="365"/>
      <c r="D23" s="365"/>
      <c r="E23" s="365"/>
      <c r="F23" s="365"/>
      <c r="G23" s="365"/>
      <c r="H23" s="365"/>
      <c r="I23" s="365"/>
      <c r="J23" s="365"/>
      <c r="K23" s="365"/>
      <c r="L23" s="366"/>
    </row>
    <row r="24" spans="1:14" s="57" customFormat="1" ht="14.5" customHeight="1" x14ac:dyDescent="0.2">
      <c r="A24" s="110"/>
      <c r="B24" s="110"/>
      <c r="C24" s="110"/>
      <c r="D24" s="110"/>
      <c r="E24" s="110"/>
      <c r="F24" s="110"/>
      <c r="G24" s="110"/>
      <c r="H24" s="110"/>
      <c r="I24" s="110"/>
      <c r="J24" s="110"/>
      <c r="K24" s="110"/>
      <c r="L24" s="110"/>
    </row>
    <row r="25" spans="1:14" s="57" customFormat="1" ht="16.5" customHeight="1" x14ac:dyDescent="0.2">
      <c r="A25" s="367" t="s">
        <v>279</v>
      </c>
      <c r="B25" s="368"/>
      <c r="C25" s="368"/>
      <c r="D25" s="368"/>
      <c r="E25" s="368"/>
      <c r="F25" s="368"/>
      <c r="G25" s="368"/>
      <c r="H25" s="368"/>
      <c r="I25" s="368"/>
      <c r="J25" s="368"/>
      <c r="K25" s="368"/>
      <c r="L25" s="369"/>
      <c r="N25" s="1"/>
    </row>
    <row r="26" spans="1:14" s="57" customFormat="1" ht="16.5" customHeight="1" x14ac:dyDescent="0.2">
      <c r="A26" s="345" t="s">
        <v>175</v>
      </c>
      <c r="B26" s="346"/>
      <c r="C26" s="346"/>
      <c r="D26" s="346"/>
      <c r="E26" s="346"/>
      <c r="F26" s="346"/>
      <c r="G26" s="346"/>
      <c r="H26" s="346"/>
      <c r="I26" s="346"/>
      <c r="J26" s="346"/>
      <c r="K26" s="346"/>
      <c r="L26" s="347"/>
      <c r="N26" s="1"/>
    </row>
    <row r="27" spans="1:14" s="57" customFormat="1" ht="15" customHeight="1" x14ac:dyDescent="0.2">
      <c r="A27" s="209">
        <v>1</v>
      </c>
      <c r="B27" s="379" t="s">
        <v>174</v>
      </c>
      <c r="C27" s="379"/>
      <c r="D27" s="379"/>
      <c r="E27" s="379"/>
      <c r="F27" s="379"/>
      <c r="G27" s="379"/>
      <c r="H27" s="379"/>
      <c r="I27" s="379"/>
      <c r="J27" s="379"/>
      <c r="K27" s="379"/>
      <c r="L27" s="380"/>
    </row>
    <row r="28" spans="1:14" s="57" customFormat="1" ht="30" customHeight="1" x14ac:dyDescent="0.2">
      <c r="A28" s="209">
        <v>2</v>
      </c>
      <c r="B28" s="379" t="s">
        <v>275</v>
      </c>
      <c r="C28" s="379"/>
      <c r="D28" s="379"/>
      <c r="E28" s="379"/>
      <c r="F28" s="379"/>
      <c r="G28" s="379"/>
      <c r="H28" s="379"/>
      <c r="I28" s="379"/>
      <c r="J28" s="379"/>
      <c r="K28" s="379"/>
      <c r="L28" s="380"/>
      <c r="N28" s="104"/>
    </row>
    <row r="29" spans="1:14" s="57" customFormat="1" ht="15" customHeight="1" x14ac:dyDescent="0.2">
      <c r="A29" s="209">
        <v>3</v>
      </c>
      <c r="B29" s="379" t="s">
        <v>167</v>
      </c>
      <c r="C29" s="379"/>
      <c r="D29" s="379"/>
      <c r="E29" s="379"/>
      <c r="F29" s="379"/>
      <c r="G29" s="379"/>
      <c r="H29" s="379"/>
      <c r="I29" s="379"/>
      <c r="J29" s="379"/>
      <c r="K29" s="379"/>
      <c r="L29" s="380"/>
      <c r="N29" s="104"/>
    </row>
    <row r="30" spans="1:14" s="57" customFormat="1" ht="15" customHeight="1" x14ac:dyDescent="0.2">
      <c r="A30" s="209">
        <v>4</v>
      </c>
      <c r="B30" s="379" t="s">
        <v>284</v>
      </c>
      <c r="C30" s="379"/>
      <c r="D30" s="379"/>
      <c r="E30" s="379"/>
      <c r="F30" s="379"/>
      <c r="G30" s="379"/>
      <c r="H30" s="379"/>
      <c r="I30" s="379"/>
      <c r="J30" s="379"/>
      <c r="K30" s="379"/>
      <c r="L30" s="380"/>
      <c r="N30" s="104"/>
    </row>
    <row r="31" spans="1:14" s="57" customFormat="1" ht="15" customHeight="1" x14ac:dyDescent="0.2">
      <c r="A31" s="209">
        <v>5</v>
      </c>
      <c r="B31" s="379" t="s">
        <v>168</v>
      </c>
      <c r="C31" s="379"/>
      <c r="D31" s="379"/>
      <c r="E31" s="379"/>
      <c r="F31" s="379"/>
      <c r="G31" s="379"/>
      <c r="H31" s="379"/>
      <c r="I31" s="379"/>
      <c r="J31" s="379"/>
      <c r="K31" s="379"/>
      <c r="L31" s="380"/>
      <c r="N31" s="104"/>
    </row>
    <row r="32" spans="1:14" s="57" customFormat="1" ht="15" customHeight="1" x14ac:dyDescent="0.2">
      <c r="A32" s="209"/>
      <c r="B32" s="379" t="s">
        <v>169</v>
      </c>
      <c r="C32" s="379"/>
      <c r="D32" s="379"/>
      <c r="E32" s="379"/>
      <c r="F32" s="379"/>
      <c r="G32" s="379"/>
      <c r="H32" s="379"/>
      <c r="I32" s="379"/>
      <c r="J32" s="379"/>
      <c r="K32" s="379"/>
      <c r="L32" s="380"/>
      <c r="N32" s="104"/>
    </row>
    <row r="33" spans="1:14" s="57" customFormat="1" ht="15" customHeight="1" x14ac:dyDescent="0.2">
      <c r="A33" s="209"/>
      <c r="B33" s="379" t="s">
        <v>170</v>
      </c>
      <c r="C33" s="379"/>
      <c r="D33" s="379"/>
      <c r="E33" s="379"/>
      <c r="F33" s="379"/>
      <c r="G33" s="379"/>
      <c r="H33" s="379"/>
      <c r="I33" s="379"/>
      <c r="J33" s="379"/>
      <c r="K33" s="379"/>
      <c r="L33" s="380"/>
      <c r="N33" s="104"/>
    </row>
    <row r="34" spans="1:14" s="57" customFormat="1" ht="15" customHeight="1" x14ac:dyDescent="0.2">
      <c r="A34" s="381" t="s">
        <v>176</v>
      </c>
      <c r="B34" s="382"/>
      <c r="C34" s="382"/>
      <c r="D34" s="382"/>
      <c r="E34" s="382"/>
      <c r="F34" s="382"/>
      <c r="G34" s="382"/>
      <c r="H34" s="382"/>
      <c r="I34" s="382"/>
      <c r="J34" s="382"/>
      <c r="K34" s="382"/>
      <c r="L34" s="383"/>
      <c r="N34" s="104"/>
    </row>
    <row r="35" spans="1:14" s="57" customFormat="1" ht="15" customHeight="1" x14ac:dyDescent="0.2">
      <c r="A35" s="209">
        <v>1</v>
      </c>
      <c r="B35" s="379" t="s">
        <v>171</v>
      </c>
      <c r="C35" s="379"/>
      <c r="D35" s="379"/>
      <c r="E35" s="379"/>
      <c r="F35" s="379"/>
      <c r="G35" s="379"/>
      <c r="H35" s="379"/>
      <c r="I35" s="379"/>
      <c r="J35" s="379"/>
      <c r="K35" s="379"/>
      <c r="L35" s="380"/>
      <c r="N35" s="104"/>
    </row>
    <row r="36" spans="1:14" s="57" customFormat="1" ht="30.75" customHeight="1" x14ac:dyDescent="0.2">
      <c r="A36" s="209"/>
      <c r="B36" s="377" t="s">
        <v>426</v>
      </c>
      <c r="C36" s="377"/>
      <c r="D36" s="377"/>
      <c r="E36" s="377"/>
      <c r="F36" s="377"/>
      <c r="G36" s="377"/>
      <c r="H36" s="377"/>
      <c r="I36" s="377"/>
      <c r="J36" s="377"/>
      <c r="K36" s="377"/>
      <c r="L36" s="378"/>
      <c r="N36" s="104"/>
    </row>
    <row r="37" spans="1:14" s="57" customFormat="1" ht="29.5" customHeight="1" x14ac:dyDescent="0.2">
      <c r="A37" s="209">
        <v>2</v>
      </c>
      <c r="B37" s="379" t="s">
        <v>278</v>
      </c>
      <c r="C37" s="379"/>
      <c r="D37" s="379"/>
      <c r="E37" s="379"/>
      <c r="F37" s="379"/>
      <c r="G37" s="379"/>
      <c r="H37" s="379"/>
      <c r="I37" s="379"/>
      <c r="J37" s="379"/>
      <c r="K37" s="379"/>
      <c r="L37" s="380"/>
      <c r="N37" s="104"/>
    </row>
    <row r="38" spans="1:14" s="57" customFormat="1" ht="26.5" customHeight="1" x14ac:dyDescent="0.2">
      <c r="A38" s="209">
        <v>3</v>
      </c>
      <c r="B38" s="379" t="s">
        <v>475</v>
      </c>
      <c r="C38" s="379"/>
      <c r="D38" s="379"/>
      <c r="E38" s="379"/>
      <c r="F38" s="379"/>
      <c r="G38" s="379"/>
      <c r="H38" s="379"/>
      <c r="I38" s="379"/>
      <c r="J38" s="379"/>
      <c r="K38" s="379"/>
      <c r="L38" s="380"/>
      <c r="N38" s="104"/>
    </row>
    <row r="39" spans="1:14" s="57" customFormat="1" ht="33" customHeight="1" x14ac:dyDescent="0.2">
      <c r="A39" s="209">
        <v>4</v>
      </c>
      <c r="B39" s="379" t="s">
        <v>285</v>
      </c>
      <c r="C39" s="379"/>
      <c r="D39" s="379"/>
      <c r="E39" s="379"/>
      <c r="F39" s="379"/>
      <c r="G39" s="379"/>
      <c r="H39" s="379"/>
      <c r="I39" s="379"/>
      <c r="J39" s="379"/>
      <c r="K39" s="379"/>
      <c r="L39" s="380"/>
      <c r="N39" s="104"/>
    </row>
    <row r="40" spans="1:14" s="57" customFormat="1" ht="15" customHeight="1" x14ac:dyDescent="0.2">
      <c r="A40" s="209">
        <v>5</v>
      </c>
      <c r="B40" s="377" t="s">
        <v>269</v>
      </c>
      <c r="C40" s="377"/>
      <c r="D40" s="377"/>
      <c r="E40" s="377"/>
      <c r="F40" s="377"/>
      <c r="G40" s="377"/>
      <c r="H40" s="377"/>
      <c r="I40" s="377"/>
      <c r="J40" s="377"/>
      <c r="K40" s="377"/>
      <c r="L40" s="378"/>
      <c r="N40" s="104"/>
    </row>
    <row r="41" spans="1:14" s="57" customFormat="1" ht="28.5" customHeight="1" x14ac:dyDescent="0.2">
      <c r="A41" s="209">
        <v>6</v>
      </c>
      <c r="B41" s="377" t="s">
        <v>476</v>
      </c>
      <c r="C41" s="377"/>
      <c r="D41" s="377"/>
      <c r="E41" s="377"/>
      <c r="F41" s="377"/>
      <c r="G41" s="377"/>
      <c r="H41" s="377"/>
      <c r="I41" s="377"/>
      <c r="J41" s="377"/>
      <c r="K41" s="377"/>
      <c r="L41" s="378"/>
      <c r="N41" s="104"/>
    </row>
    <row r="42" spans="1:14" s="57" customFormat="1" ht="16.5" customHeight="1" x14ac:dyDescent="0.2">
      <c r="A42" s="209">
        <v>7</v>
      </c>
      <c r="B42" s="379" t="s">
        <v>270</v>
      </c>
      <c r="C42" s="379"/>
      <c r="D42" s="379"/>
      <c r="E42" s="379"/>
      <c r="F42" s="379"/>
      <c r="G42" s="379"/>
      <c r="H42" s="379"/>
      <c r="I42" s="379"/>
      <c r="J42" s="379"/>
      <c r="K42" s="379"/>
      <c r="L42" s="380"/>
    </row>
    <row r="43" spans="1:14" s="57" customFormat="1" ht="17.5" customHeight="1" x14ac:dyDescent="0.2">
      <c r="A43" s="209"/>
      <c r="B43" s="210"/>
      <c r="C43" s="210"/>
      <c r="D43" s="210"/>
      <c r="E43" s="210"/>
      <c r="F43" s="210"/>
      <c r="G43" s="210"/>
      <c r="H43" s="210"/>
      <c r="I43" s="210"/>
      <c r="J43" s="210"/>
      <c r="K43" s="210"/>
      <c r="L43" s="211"/>
    </row>
    <row r="44" spans="1:14" s="57" customFormat="1" ht="16.5" customHeight="1" x14ac:dyDescent="0.2">
      <c r="A44" s="381" t="s">
        <v>273</v>
      </c>
      <c r="B44" s="382"/>
      <c r="C44" s="382"/>
      <c r="D44" s="382"/>
      <c r="E44" s="382"/>
      <c r="F44" s="382"/>
      <c r="G44" s="382"/>
      <c r="H44" s="382"/>
      <c r="I44" s="382"/>
      <c r="J44" s="382"/>
      <c r="K44" s="382"/>
      <c r="L44" s="383"/>
    </row>
    <row r="45" spans="1:14" s="57" customFormat="1" ht="15" customHeight="1" x14ac:dyDescent="0.2">
      <c r="A45" s="212" t="s">
        <v>271</v>
      </c>
      <c r="B45" s="379" t="s">
        <v>172</v>
      </c>
      <c r="C45" s="379"/>
      <c r="D45" s="379"/>
      <c r="E45" s="379"/>
      <c r="F45" s="379"/>
      <c r="G45" s="379"/>
      <c r="H45" s="379"/>
      <c r="I45" s="379"/>
      <c r="J45" s="379"/>
      <c r="K45" s="379"/>
      <c r="L45" s="380"/>
    </row>
    <row r="46" spans="1:14" s="57" customFormat="1" ht="30.75" customHeight="1" x14ac:dyDescent="0.2">
      <c r="A46" s="213" t="s">
        <v>272</v>
      </c>
      <c r="B46" s="389" t="s">
        <v>274</v>
      </c>
      <c r="C46" s="389"/>
      <c r="D46" s="389"/>
      <c r="E46" s="389"/>
      <c r="F46" s="389"/>
      <c r="G46" s="389"/>
      <c r="H46" s="389"/>
      <c r="I46" s="389"/>
      <c r="J46" s="389"/>
      <c r="K46" s="389"/>
      <c r="L46" s="390"/>
    </row>
    <row r="47" spans="1:14" s="57" customFormat="1" ht="18" customHeight="1" x14ac:dyDescent="0.2">
      <c r="A47" s="157"/>
      <c r="B47" s="110"/>
      <c r="C47" s="110"/>
      <c r="D47" s="110"/>
      <c r="E47" s="110"/>
      <c r="F47" s="110"/>
      <c r="G47" s="110"/>
      <c r="H47" s="110"/>
      <c r="I47" s="110"/>
      <c r="J47" s="110"/>
      <c r="K47" s="110"/>
      <c r="L47" s="110"/>
    </row>
    <row r="48" spans="1:14" s="1" customFormat="1" ht="16.5" customHeight="1" x14ac:dyDescent="0.2">
      <c r="A48" s="391" t="s">
        <v>200</v>
      </c>
      <c r="B48" s="392"/>
      <c r="C48" s="392"/>
      <c r="D48" s="392"/>
      <c r="E48" s="392"/>
      <c r="F48" s="392"/>
      <c r="G48" s="392"/>
      <c r="H48" s="392"/>
      <c r="I48" s="392"/>
      <c r="J48" s="392"/>
      <c r="K48" s="392"/>
      <c r="L48" s="393"/>
    </row>
    <row r="49" spans="1:12" s="1" customFormat="1" ht="16.5" customHeight="1" x14ac:dyDescent="0.2">
      <c r="A49" s="216" t="s">
        <v>173</v>
      </c>
      <c r="B49" s="158"/>
      <c r="C49" s="158"/>
      <c r="D49" s="158"/>
      <c r="E49" s="158"/>
      <c r="F49" s="158"/>
      <c r="G49" s="158"/>
      <c r="H49" s="158"/>
      <c r="I49" s="158"/>
      <c r="J49" s="158"/>
      <c r="K49" s="158"/>
      <c r="L49" s="159"/>
    </row>
    <row r="50" spans="1:12" ht="14.25" customHeight="1" x14ac:dyDescent="0.2">
      <c r="B50" s="82"/>
      <c r="C50" s="82"/>
      <c r="D50" s="82"/>
      <c r="E50" s="82"/>
      <c r="F50" s="82"/>
      <c r="G50" s="82"/>
      <c r="H50" s="82"/>
      <c r="I50" s="82"/>
      <c r="J50" s="82"/>
      <c r="K50" s="82"/>
      <c r="L50" s="82"/>
    </row>
    <row r="51" spans="1:12" ht="16.5" customHeight="1" x14ac:dyDescent="0.2">
      <c r="A51" s="160" t="s">
        <v>126</v>
      </c>
      <c r="B51" s="161"/>
      <c r="C51" s="161"/>
      <c r="D51" s="162"/>
      <c r="E51" s="161"/>
      <c r="F51" s="161"/>
      <c r="G51" s="161"/>
      <c r="H51" s="161"/>
      <c r="I51" s="161"/>
      <c r="J51" s="161"/>
      <c r="K51" s="161"/>
      <c r="L51" s="163"/>
    </row>
    <row r="52" spans="1:12" ht="15" customHeight="1" x14ac:dyDescent="0.2">
      <c r="A52" s="164"/>
      <c r="B52" s="165" t="s">
        <v>24</v>
      </c>
      <c r="C52" s="166" t="s">
        <v>427</v>
      </c>
      <c r="D52" s="166"/>
      <c r="E52" s="166"/>
      <c r="F52" s="166"/>
      <c r="G52" s="166"/>
      <c r="H52" s="166"/>
      <c r="I52" s="166"/>
      <c r="J52" s="166"/>
      <c r="K52" s="166"/>
      <c r="L52" s="167"/>
    </row>
    <row r="53" spans="1:12" ht="14.25" customHeight="1" x14ac:dyDescent="0.2">
      <c r="A53" s="164"/>
      <c r="B53" s="165" t="s">
        <v>41</v>
      </c>
      <c r="C53" s="166" t="s">
        <v>51</v>
      </c>
      <c r="D53" s="166"/>
      <c r="E53" s="166"/>
      <c r="F53" s="166"/>
      <c r="G53" s="166"/>
      <c r="H53" s="166"/>
      <c r="I53" s="166"/>
      <c r="J53" s="166"/>
      <c r="K53" s="166"/>
      <c r="L53" s="167"/>
    </row>
    <row r="54" spans="1:12" s="56" customFormat="1" ht="33.75" customHeight="1" x14ac:dyDescent="0.2">
      <c r="A54" s="164"/>
      <c r="B54" s="165" t="s">
        <v>24</v>
      </c>
      <c r="C54" s="342" t="s">
        <v>262</v>
      </c>
      <c r="D54" s="342"/>
      <c r="E54" s="342"/>
      <c r="F54" s="342"/>
      <c r="G54" s="342"/>
      <c r="H54" s="342"/>
      <c r="I54" s="342"/>
      <c r="J54" s="342"/>
      <c r="K54" s="342"/>
      <c r="L54" s="363"/>
    </row>
    <row r="55" spans="1:12" s="56" customFormat="1" ht="33.75" customHeight="1" x14ac:dyDescent="0.2">
      <c r="A55" s="164"/>
      <c r="B55" s="165" t="s">
        <v>263</v>
      </c>
      <c r="C55" s="342" t="s">
        <v>264</v>
      </c>
      <c r="D55" s="342"/>
      <c r="E55" s="342"/>
      <c r="F55" s="342"/>
      <c r="G55" s="342"/>
      <c r="H55" s="342"/>
      <c r="I55" s="342"/>
      <c r="J55" s="342"/>
      <c r="K55" s="342"/>
      <c r="L55" s="363"/>
    </row>
    <row r="56" spans="1:12" s="56" customFormat="1" ht="33.75" customHeight="1" x14ac:dyDescent="0.2">
      <c r="A56" s="164"/>
      <c r="B56" s="165" t="s">
        <v>327</v>
      </c>
      <c r="C56" s="342" t="s">
        <v>328</v>
      </c>
      <c r="D56" s="342"/>
      <c r="E56" s="342"/>
      <c r="F56" s="342"/>
      <c r="G56" s="342"/>
      <c r="H56" s="342"/>
      <c r="I56" s="342"/>
      <c r="J56" s="342"/>
      <c r="K56" s="342"/>
      <c r="L56" s="363"/>
    </row>
    <row r="57" spans="1:12" ht="30.75" customHeight="1" x14ac:dyDescent="0.2">
      <c r="A57" s="164"/>
      <c r="B57" s="165" t="s">
        <v>98</v>
      </c>
      <c r="C57" s="342" t="s">
        <v>99</v>
      </c>
      <c r="D57" s="342"/>
      <c r="E57" s="342"/>
      <c r="F57" s="342"/>
      <c r="G57" s="342"/>
      <c r="H57" s="342"/>
      <c r="I57" s="342"/>
      <c r="J57" s="342"/>
      <c r="K57" s="342"/>
      <c r="L57" s="363"/>
    </row>
    <row r="58" spans="1:12" ht="30.75" customHeight="1" x14ac:dyDescent="0.2">
      <c r="A58" s="164"/>
      <c r="B58" s="165" t="s">
        <v>198</v>
      </c>
      <c r="C58" s="342" t="s">
        <v>199</v>
      </c>
      <c r="D58" s="342"/>
      <c r="E58" s="342"/>
      <c r="F58" s="342"/>
      <c r="G58" s="342"/>
      <c r="H58" s="342"/>
      <c r="I58" s="342"/>
      <c r="J58" s="342"/>
      <c r="K58" s="342"/>
      <c r="L58" s="363"/>
    </row>
    <row r="59" spans="1:12" ht="31" customHeight="1" x14ac:dyDescent="0.2">
      <c r="A59" s="164"/>
      <c r="B59" s="165" t="s">
        <v>163</v>
      </c>
      <c r="C59" s="342" t="s">
        <v>466</v>
      </c>
      <c r="D59" s="343"/>
      <c r="E59" s="343"/>
      <c r="F59" s="343"/>
      <c r="G59" s="343"/>
      <c r="H59" s="343"/>
      <c r="I59" s="343"/>
      <c r="J59" s="343"/>
      <c r="K59" s="343"/>
      <c r="L59" s="344"/>
    </row>
    <row r="60" spans="1:12" ht="14.5" customHeight="1" x14ac:dyDescent="0.2">
      <c r="A60" s="164"/>
      <c r="B60" s="165" t="s">
        <v>393</v>
      </c>
      <c r="C60" s="342" t="s">
        <v>394</v>
      </c>
      <c r="D60" s="342"/>
      <c r="E60" s="342"/>
      <c r="F60" s="342"/>
      <c r="G60" s="342"/>
      <c r="H60" s="342"/>
      <c r="I60" s="342"/>
      <c r="J60" s="342"/>
      <c r="K60" s="342"/>
      <c r="L60" s="363"/>
    </row>
    <row r="61" spans="1:12" x14ac:dyDescent="0.2">
      <c r="A61" s="164"/>
      <c r="B61" s="165" t="s">
        <v>36</v>
      </c>
      <c r="C61" s="166" t="s">
        <v>37</v>
      </c>
      <c r="D61" s="166"/>
      <c r="E61" s="166"/>
      <c r="F61" s="166"/>
      <c r="G61" s="166"/>
      <c r="H61" s="166"/>
      <c r="I61" s="166"/>
      <c r="J61" s="166"/>
      <c r="K61" s="166"/>
      <c r="L61" s="167"/>
    </row>
    <row r="62" spans="1:12" x14ac:dyDescent="0.2">
      <c r="A62" s="168"/>
      <c r="B62" s="169" t="s">
        <v>119</v>
      </c>
      <c r="C62" s="170" t="s">
        <v>120</v>
      </c>
      <c r="D62" s="170"/>
      <c r="E62" s="170"/>
      <c r="F62" s="170"/>
      <c r="G62" s="170"/>
      <c r="H62" s="170"/>
      <c r="I62" s="170"/>
      <c r="J62" s="170"/>
      <c r="K62" s="170"/>
      <c r="L62" s="171"/>
    </row>
    <row r="64" spans="1:12" x14ac:dyDescent="0.2">
      <c r="A64" s="1" t="s">
        <v>52</v>
      </c>
    </row>
    <row r="65" spans="1:1" x14ac:dyDescent="0.2">
      <c r="A65" s="1" t="s">
        <v>53</v>
      </c>
    </row>
    <row r="66" spans="1:1" x14ac:dyDescent="0.2">
      <c r="A66" t="s">
        <v>54</v>
      </c>
    </row>
    <row r="67" spans="1:1" x14ac:dyDescent="0.2">
      <c r="A67" s="43" t="s">
        <v>55</v>
      </c>
    </row>
    <row r="68" spans="1:1" x14ac:dyDescent="0.2">
      <c r="A68" s="43" t="s">
        <v>56</v>
      </c>
    </row>
    <row r="69" spans="1:1" x14ac:dyDescent="0.2">
      <c r="A69" s="43"/>
    </row>
    <row r="70" spans="1:1" x14ac:dyDescent="0.2">
      <c r="A70" s="1" t="s">
        <v>395</v>
      </c>
    </row>
    <row r="71" spans="1:1" x14ac:dyDescent="0.2">
      <c r="A71" t="s">
        <v>54</v>
      </c>
    </row>
    <row r="72" spans="1:1" x14ac:dyDescent="0.2">
      <c r="A72" s="43" t="s">
        <v>396</v>
      </c>
    </row>
    <row r="73" spans="1:1" x14ac:dyDescent="0.2">
      <c r="A73" s="43"/>
    </row>
    <row r="74" spans="1:1" x14ac:dyDescent="0.2">
      <c r="A74" s="229" t="s">
        <v>340</v>
      </c>
    </row>
    <row r="75" spans="1:1" x14ac:dyDescent="0.2">
      <c r="A75" s="228" t="s">
        <v>341</v>
      </c>
    </row>
    <row r="76" spans="1:1" x14ac:dyDescent="0.2">
      <c r="A76" s="43" t="s">
        <v>342</v>
      </c>
    </row>
    <row r="77" spans="1:1" x14ac:dyDescent="0.2">
      <c r="A77" s="43"/>
    </row>
    <row r="78" spans="1:1" x14ac:dyDescent="0.2">
      <c r="A78" s="1" t="s">
        <v>161</v>
      </c>
    </row>
    <row r="79" spans="1:1" x14ac:dyDescent="0.2">
      <c r="A79" s="43" t="s">
        <v>265</v>
      </c>
    </row>
    <row r="81" spans="1:12" x14ac:dyDescent="0.2">
      <c r="A81" s="1" t="s">
        <v>23</v>
      </c>
    </row>
    <row r="82" spans="1:12" ht="29.25" customHeight="1" x14ac:dyDescent="0.2">
      <c r="A82" s="388" t="s">
        <v>397</v>
      </c>
      <c r="B82" s="388"/>
      <c r="C82" s="388"/>
      <c r="D82" s="388"/>
      <c r="E82" s="388"/>
      <c r="F82" s="388"/>
      <c r="G82" s="388"/>
      <c r="H82" s="388"/>
      <c r="I82" s="388"/>
      <c r="J82" s="388"/>
      <c r="K82" s="388"/>
      <c r="L82" s="388"/>
    </row>
    <row r="87" spans="1:12" ht="16" customHeight="1" x14ac:dyDescent="0.2"/>
    <row r="88" spans="1:12" ht="29.25" customHeight="1" x14ac:dyDescent="0.2"/>
  </sheetData>
  <mergeCells count="48">
    <mergeCell ref="A17:D17"/>
    <mergeCell ref="B13:L13"/>
    <mergeCell ref="B14:L14"/>
    <mergeCell ref="B15:L15"/>
    <mergeCell ref="A82:L82"/>
    <mergeCell ref="B41:L41"/>
    <mergeCell ref="B42:L42"/>
    <mergeCell ref="B45:L45"/>
    <mergeCell ref="B46:L46"/>
    <mergeCell ref="A48:L48"/>
    <mergeCell ref="C54:L54"/>
    <mergeCell ref="C57:L57"/>
    <mergeCell ref="C58:L58"/>
    <mergeCell ref="C55:L55"/>
    <mergeCell ref="C60:L60"/>
    <mergeCell ref="A44:L44"/>
    <mergeCell ref="B11:L11"/>
    <mergeCell ref="C56:L56"/>
    <mergeCell ref="B40:L40"/>
    <mergeCell ref="B27:L27"/>
    <mergeCell ref="B28:L28"/>
    <mergeCell ref="B29:L29"/>
    <mergeCell ref="B30:L30"/>
    <mergeCell ref="B31:L31"/>
    <mergeCell ref="B32:L32"/>
    <mergeCell ref="B33:L33"/>
    <mergeCell ref="A34:L34"/>
    <mergeCell ref="B35:L35"/>
    <mergeCell ref="B36:L36"/>
    <mergeCell ref="B38:L38"/>
    <mergeCell ref="B37:L37"/>
    <mergeCell ref="B39:L39"/>
    <mergeCell ref="C59:L59"/>
    <mergeCell ref="A26:L26"/>
    <mergeCell ref="A1:L1"/>
    <mergeCell ref="A4:L4"/>
    <mergeCell ref="N4:R4"/>
    <mergeCell ref="A5:L5"/>
    <mergeCell ref="A6:L6"/>
    <mergeCell ref="A19:L19"/>
    <mergeCell ref="A20:L20"/>
    <mergeCell ref="A21:L21"/>
    <mergeCell ref="A22:L22"/>
    <mergeCell ref="A23:L23"/>
    <mergeCell ref="A25:L25"/>
    <mergeCell ref="B7:L7"/>
    <mergeCell ref="B8:L8"/>
    <mergeCell ref="A10:L10"/>
  </mergeCells>
  <hyperlinks>
    <hyperlink ref="A67" r:id="rId1" xr:uid="{C9866D44-2827-49D7-B9C3-89CF23FACDC1}"/>
    <hyperlink ref="A68" r:id="rId2" xr:uid="{66F54200-A2AB-43DA-A0E0-F2A25A075EE5}"/>
    <hyperlink ref="A79" r:id="rId3" xr:uid="{A0F8DE06-D9FC-495F-9A01-AA199CB82365}"/>
    <hyperlink ref="A48:L48" r:id="rId4" display="LETS START (visual directions as pdf)" xr:uid="{0D075873-7EBB-4309-B00A-6A62EA192A0C}"/>
    <hyperlink ref="A49" r:id="rId5" xr:uid="{25154A32-BA44-496E-9945-086DE0980DBD}"/>
    <hyperlink ref="A76" r:id="rId6" xr:uid="{AA792CE4-4071-4CE8-87C6-993A0BA6C6A5}"/>
    <hyperlink ref="E17" r:id="rId7" xr:uid="{218FEB9D-6782-4420-9DCE-4D6F20EDE6D5}"/>
    <hyperlink ref="A72"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291</v>
      </c>
      <c r="C5" s="54" t="s">
        <v>292</v>
      </c>
      <c r="D5" s="53">
        <v>4</v>
      </c>
      <c r="E5" s="53" t="s">
        <v>240</v>
      </c>
      <c r="F5" s="53" t="s">
        <v>240</v>
      </c>
      <c r="G5" s="55"/>
      <c r="I5" s="37"/>
      <c r="J5" s="37"/>
      <c r="K5" s="39"/>
    </row>
    <row r="6" spans="1:11" ht="38.5" customHeight="1" x14ac:dyDescent="0.2">
      <c r="A6" s="55">
        <v>45666</v>
      </c>
      <c r="B6" s="146" t="s">
        <v>300</v>
      </c>
      <c r="C6" s="54" t="s">
        <v>301</v>
      </c>
      <c r="D6" s="53">
        <v>3</v>
      </c>
      <c r="E6" s="53" t="s">
        <v>240</v>
      </c>
      <c r="F6" s="53" t="s">
        <v>240</v>
      </c>
      <c r="G6" s="55"/>
      <c r="I6" s="37"/>
      <c r="J6" s="37"/>
      <c r="K6" s="38"/>
    </row>
    <row r="7" spans="1:11" ht="64" x14ac:dyDescent="0.2">
      <c r="A7" s="55">
        <v>45670</v>
      </c>
      <c r="B7" s="146" t="s">
        <v>305</v>
      </c>
      <c r="C7" s="37" t="s">
        <v>302</v>
      </c>
      <c r="D7" s="53">
        <v>0.5</v>
      </c>
      <c r="E7" s="53" t="s">
        <v>240</v>
      </c>
      <c r="F7" s="53" t="s">
        <v>240</v>
      </c>
      <c r="G7" s="55"/>
      <c r="I7" s="37"/>
      <c r="J7" s="40"/>
      <c r="K7" s="39"/>
    </row>
    <row r="8" spans="1:11" ht="32" x14ac:dyDescent="0.2">
      <c r="A8" s="55">
        <v>45671</v>
      </c>
      <c r="B8" s="146" t="s">
        <v>332</v>
      </c>
      <c r="C8" s="54" t="s">
        <v>333</v>
      </c>
      <c r="D8" s="53">
        <v>0.5</v>
      </c>
      <c r="E8" s="53" t="s">
        <v>240</v>
      </c>
      <c r="F8" s="53" t="s">
        <v>240</v>
      </c>
      <c r="G8" s="55"/>
      <c r="I8" s="37"/>
      <c r="J8" s="40"/>
      <c r="K8" s="39"/>
    </row>
    <row r="9" spans="1:11" ht="16" x14ac:dyDescent="0.2">
      <c r="A9" s="55">
        <v>45681</v>
      </c>
      <c r="B9" s="146" t="s">
        <v>345</v>
      </c>
      <c r="C9" s="54" t="s">
        <v>346</v>
      </c>
      <c r="D9" s="53">
        <v>0.25</v>
      </c>
      <c r="E9" s="53" t="s">
        <v>240</v>
      </c>
      <c r="F9" s="53" t="s">
        <v>240</v>
      </c>
      <c r="G9" s="55"/>
      <c r="I9" s="37"/>
      <c r="J9" s="37"/>
      <c r="K9" s="39"/>
    </row>
    <row r="10" spans="1:11" ht="32" x14ac:dyDescent="0.2">
      <c r="A10" s="55">
        <v>45681</v>
      </c>
      <c r="B10" s="146" t="s">
        <v>349</v>
      </c>
      <c r="C10" s="54" t="s">
        <v>350</v>
      </c>
      <c r="D10" s="53">
        <v>1</v>
      </c>
      <c r="E10" s="53" t="s">
        <v>240</v>
      </c>
      <c r="F10" s="37" t="s">
        <v>347</v>
      </c>
      <c r="G10" s="55">
        <v>45678</v>
      </c>
      <c r="I10" s="37"/>
      <c r="J10" s="40"/>
      <c r="K10" s="39"/>
    </row>
    <row r="11" spans="1:11" ht="32" x14ac:dyDescent="0.2">
      <c r="A11" s="55">
        <v>45762</v>
      </c>
      <c r="B11" s="53">
        <v>1.5</v>
      </c>
      <c r="C11" s="54" t="s">
        <v>398</v>
      </c>
      <c r="D11" s="53">
        <v>12</v>
      </c>
      <c r="E11" s="53" t="s">
        <v>399</v>
      </c>
      <c r="F11" s="53" t="s">
        <v>400</v>
      </c>
      <c r="G11" s="55">
        <v>45702</v>
      </c>
      <c r="I11" s="37"/>
      <c r="J11" s="40"/>
      <c r="K11" s="39"/>
    </row>
    <row r="12" spans="1:11" ht="48" x14ac:dyDescent="0.2">
      <c r="A12" s="55">
        <v>45798</v>
      </c>
      <c r="B12" s="53">
        <v>1.6</v>
      </c>
      <c r="C12" s="54" t="s">
        <v>418</v>
      </c>
      <c r="D12" s="53">
        <v>6</v>
      </c>
      <c r="E12" s="53" t="s">
        <v>399</v>
      </c>
      <c r="F12" s="53" t="s">
        <v>417</v>
      </c>
      <c r="G12" s="55">
        <v>45702</v>
      </c>
      <c r="I12" s="37"/>
      <c r="J12" s="40"/>
      <c r="K12" s="39"/>
    </row>
    <row r="13" spans="1:11" ht="48" x14ac:dyDescent="0.2">
      <c r="A13" s="55">
        <v>45827</v>
      </c>
      <c r="B13" s="146" t="s">
        <v>433</v>
      </c>
      <c r="C13" s="54" t="s">
        <v>432</v>
      </c>
      <c r="D13" s="53">
        <v>5</v>
      </c>
      <c r="E13" s="53" t="s">
        <v>399</v>
      </c>
      <c r="F13" s="53" t="s">
        <v>417</v>
      </c>
      <c r="G13" s="55">
        <v>45702</v>
      </c>
      <c r="I13" s="37"/>
      <c r="J13" s="37"/>
      <c r="K13" s="38"/>
    </row>
    <row r="14" spans="1:11" ht="16" x14ac:dyDescent="0.2">
      <c r="A14" s="55">
        <v>45831</v>
      </c>
      <c r="B14" s="53">
        <v>1.7</v>
      </c>
      <c r="C14" s="54" t="s">
        <v>434</v>
      </c>
      <c r="D14" s="53">
        <v>1.5</v>
      </c>
      <c r="E14" s="53" t="s">
        <v>399</v>
      </c>
      <c r="F14" s="53" t="s">
        <v>240</v>
      </c>
      <c r="G14" s="55">
        <v>45813</v>
      </c>
      <c r="I14" s="37"/>
      <c r="J14" s="37"/>
      <c r="K14" s="38"/>
    </row>
    <row r="15" spans="1:11" ht="32" x14ac:dyDescent="0.2">
      <c r="A15" s="55">
        <v>45895</v>
      </c>
      <c r="B15" s="146" t="s">
        <v>468</v>
      </c>
      <c r="C15" s="54" t="s">
        <v>469</v>
      </c>
      <c r="D15" s="53">
        <v>0.5</v>
      </c>
      <c r="E15" s="53" t="s">
        <v>240</v>
      </c>
      <c r="F15" s="53"/>
      <c r="G15" s="55"/>
      <c r="I15" s="37"/>
      <c r="J15" s="37"/>
      <c r="K15" s="38"/>
    </row>
    <row r="16" spans="1:11" ht="144" x14ac:dyDescent="0.2">
      <c r="A16" s="55">
        <v>45895</v>
      </c>
      <c r="B16" s="146" t="s">
        <v>470</v>
      </c>
      <c r="C16" s="54" t="s">
        <v>471</v>
      </c>
      <c r="D16" s="53">
        <v>1</v>
      </c>
      <c r="E16" s="53" t="s">
        <v>240</v>
      </c>
      <c r="F16" s="53"/>
      <c r="G16" s="55"/>
      <c r="I16" s="37"/>
      <c r="J16" s="37"/>
      <c r="K16" s="38"/>
    </row>
    <row r="17" spans="1:7" ht="16" x14ac:dyDescent="0.2">
      <c r="A17" s="55">
        <v>45993</v>
      </c>
      <c r="B17" s="146" t="s">
        <v>472</v>
      </c>
      <c r="C17" s="54" t="s">
        <v>473</v>
      </c>
      <c r="D17" s="53">
        <v>0.5</v>
      </c>
      <c r="E17" s="53" t="s">
        <v>399</v>
      </c>
      <c r="F17" s="53" t="s">
        <v>240</v>
      </c>
      <c r="G17" s="55">
        <v>45980</v>
      </c>
    </row>
    <row r="18" spans="1:7" x14ac:dyDescent="0.2">
      <c r="A18" s="55"/>
      <c r="B18" s="146"/>
      <c r="C18" s="54"/>
      <c r="D18" s="53"/>
      <c r="E18" s="53"/>
      <c r="F18" s="53"/>
      <c r="G18" s="55"/>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abSelected="1" zoomScale="125" zoomScaleNormal="160" workbookViewId="0">
      <selection activeCell="C36" sqref="C36"/>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4" t="str">
        <f>'ReadMe-Directions'!A1</f>
        <v>Immersive Model for Lake Mead based on the Principle of Divide Reservoir Inflow</v>
      </c>
      <c r="B1" s="394"/>
      <c r="C1" s="394"/>
      <c r="D1" s="394"/>
      <c r="E1" s="394"/>
      <c r="F1" s="394"/>
      <c r="G1" s="394"/>
    </row>
    <row r="2" spans="1:14" x14ac:dyDescent="0.2">
      <c r="A2" s="1" t="s">
        <v>178</v>
      </c>
      <c r="B2" s="1"/>
    </row>
    <row r="3" spans="1:14" ht="32.25" customHeight="1" x14ac:dyDescent="0.2">
      <c r="A3" s="402" t="s">
        <v>190</v>
      </c>
      <c r="B3" s="402"/>
      <c r="C3" s="402"/>
      <c r="D3" s="402"/>
      <c r="E3" s="402"/>
      <c r="F3" s="402"/>
      <c r="G3" s="402"/>
      <c r="H3" s="82"/>
      <c r="I3" s="82"/>
      <c r="J3" s="82"/>
      <c r="K3" s="82"/>
      <c r="N3" s="134" t="s">
        <v>156</v>
      </c>
    </row>
    <row r="4" spans="1:14" x14ac:dyDescent="0.2">
      <c r="A4" s="124" t="s">
        <v>258</v>
      </c>
      <c r="B4" s="124" t="s">
        <v>19</v>
      </c>
      <c r="C4" s="403" t="s">
        <v>259</v>
      </c>
      <c r="D4" s="404"/>
      <c r="E4" s="404"/>
      <c r="F4" s="404"/>
      <c r="G4" s="405"/>
      <c r="N4" s="138" t="s">
        <v>329</v>
      </c>
    </row>
    <row r="5" spans="1:14" x14ac:dyDescent="0.2">
      <c r="A5" s="88" t="s">
        <v>238</v>
      </c>
      <c r="B5" s="111"/>
      <c r="C5" s="406"/>
      <c r="D5" s="401"/>
      <c r="E5" s="401"/>
      <c r="F5" s="401"/>
      <c r="G5" s="401"/>
      <c r="N5" s="138"/>
    </row>
    <row r="6" spans="1:14" x14ac:dyDescent="0.2">
      <c r="A6" s="88" t="s">
        <v>202</v>
      </c>
      <c r="B6" s="111"/>
      <c r="C6" s="406"/>
      <c r="D6" s="401"/>
      <c r="E6" s="401"/>
      <c r="F6" s="401"/>
      <c r="G6" s="401"/>
      <c r="N6" s="139"/>
    </row>
    <row r="7" spans="1:14" x14ac:dyDescent="0.2">
      <c r="A7" s="88" t="s">
        <v>203</v>
      </c>
      <c r="B7" s="111"/>
      <c r="C7" s="406"/>
      <c r="D7" s="401"/>
      <c r="E7" s="401"/>
      <c r="F7" s="401"/>
      <c r="G7" s="401"/>
      <c r="N7" s="139"/>
    </row>
    <row r="8" spans="1:14" x14ac:dyDescent="0.2">
      <c r="A8" s="111" t="s">
        <v>204</v>
      </c>
      <c r="B8" s="88"/>
      <c r="C8" s="401"/>
      <c r="D8" s="401"/>
      <c r="E8" s="401"/>
      <c r="F8" s="401"/>
      <c r="G8" s="401"/>
      <c r="N8" s="139"/>
    </row>
    <row r="9" spans="1:14" x14ac:dyDescent="0.2">
      <c r="A9" s="111" t="s">
        <v>18</v>
      </c>
      <c r="B9" s="88"/>
      <c r="C9" s="407"/>
      <c r="D9" s="407"/>
      <c r="E9" s="407"/>
      <c r="F9" s="407"/>
      <c r="G9" s="407"/>
      <c r="N9" s="139"/>
    </row>
    <row r="10" spans="1:14" x14ac:dyDescent="0.2">
      <c r="A10" s="88" t="s">
        <v>277</v>
      </c>
      <c r="B10" s="88"/>
      <c r="C10" s="401"/>
      <c r="D10" s="401"/>
      <c r="E10" s="401"/>
      <c r="F10" s="401"/>
      <c r="G10" s="401"/>
      <c r="N10" s="139"/>
    </row>
    <row r="11" spans="1:14" x14ac:dyDescent="0.2">
      <c r="A11" s="13"/>
      <c r="B11" s="2"/>
      <c r="C11"/>
      <c r="N11" s="139"/>
    </row>
    <row r="12" spans="1:14" x14ac:dyDescent="0.2">
      <c r="A12" s="15" t="s">
        <v>110</v>
      </c>
      <c r="B12" s="408" t="s">
        <v>112</v>
      </c>
      <c r="C12" s="409"/>
      <c r="D12" s="410"/>
      <c r="N12" s="138" t="s">
        <v>129</v>
      </c>
    </row>
    <row r="13" spans="1:14" x14ac:dyDescent="0.2">
      <c r="B13" s="411" t="s">
        <v>189</v>
      </c>
      <c r="C13" s="412"/>
      <c r="D13" s="413"/>
    </row>
    <row r="14" spans="1:14" x14ac:dyDescent="0.2">
      <c r="B14" s="395" t="s">
        <v>184</v>
      </c>
      <c r="C14" s="396"/>
      <c r="D14" s="397"/>
      <c r="N14" s="139"/>
    </row>
    <row r="15" spans="1:14" x14ac:dyDescent="0.2">
      <c r="B15" s="398" t="s">
        <v>21</v>
      </c>
      <c r="C15" s="399"/>
      <c r="D15" s="400"/>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348</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287</v>
      </c>
    </row>
    <row r="22" spans="1:14" x14ac:dyDescent="0.2">
      <c r="A22" t="s">
        <v>257</v>
      </c>
      <c r="C22" s="340">
        <v>3.5339999999999998</v>
      </c>
      <c r="D22" s="341" t="s">
        <v>210</v>
      </c>
      <c r="E22" s="27"/>
      <c r="F22" s="27"/>
      <c r="N22" s="138" t="s">
        <v>286</v>
      </c>
    </row>
    <row r="23" spans="1:14" x14ac:dyDescent="0.2">
      <c r="A23" t="s">
        <v>276</v>
      </c>
      <c r="C23" s="12">
        <f>C21-C22</f>
        <v>2.4471220000000002</v>
      </c>
      <c r="D23" s="109"/>
      <c r="E23" s="27"/>
      <c r="N23" s="138" t="s">
        <v>288</v>
      </c>
    </row>
    <row r="24" spans="1:14" x14ac:dyDescent="0.2">
      <c r="A24" t="s">
        <v>304</v>
      </c>
      <c r="B24" s="92">
        <f>TribalWater!H7</f>
        <v>0.16438105840220965</v>
      </c>
      <c r="C24"/>
      <c r="D24" s="109"/>
      <c r="E24" s="27"/>
      <c r="N24" s="138" t="s">
        <v>330</v>
      </c>
    </row>
    <row r="25" spans="1:14" x14ac:dyDescent="0.2">
      <c r="A25" t="s">
        <v>303</v>
      </c>
      <c r="B25" s="217">
        <f>1-B24</f>
        <v>0.83561894159779038</v>
      </c>
      <c r="C25"/>
      <c r="D25" s="109"/>
      <c r="E25" s="27"/>
      <c r="N25" s="138" t="s">
        <v>331</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290</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IF(OR(D$28="",$A36=""),"",C140)</f>
        <v/>
      </c>
      <c r="E36" s="12" t="str">
        <f t="shared" ref="E36:L36" si="6">IF(OR(E$28="",$A36=""),"",D140)</f>
        <v/>
      </c>
      <c r="F36" s="12" t="str">
        <f t="shared" si="6"/>
        <v/>
      </c>
      <c r="G36" s="12" t="str">
        <f t="shared" si="6"/>
        <v/>
      </c>
      <c r="H36" s="12" t="str">
        <f t="shared" si="6"/>
        <v/>
      </c>
      <c r="I36" s="12" t="str">
        <f t="shared" si="6"/>
        <v/>
      </c>
      <c r="J36" s="12" t="str">
        <f t="shared" si="6"/>
        <v/>
      </c>
      <c r="K36" s="12" t="str">
        <f t="shared" si="6"/>
        <v/>
      </c>
      <c r="L36" s="12" t="str">
        <f t="shared" si="6"/>
        <v/>
      </c>
      <c r="M36" s="18"/>
      <c r="N36" s="139"/>
    </row>
    <row r="37" spans="1:14" x14ac:dyDescent="0.2">
      <c r="A37" t="str">
        <f t="shared" si="5"/>
        <v xml:space="preserve">    California Balance</v>
      </c>
      <c r="B37" s="81">
        <f>1.662*IF(C23&gt;0,1,(C21/C22))</f>
        <v>1.6619999999999999</v>
      </c>
      <c r="C37" s="79" t="str">
        <f>IF(OR(C$28="",$A37=""),"",B37)</f>
        <v/>
      </c>
      <c r="D37" s="12" t="str">
        <f>IF(OR(D$28="",$A37=""),"",C141)</f>
        <v/>
      </c>
      <c r="E37" s="12" t="str">
        <f>IF(OR(E$28="",$A37=""),"",D141)</f>
        <v/>
      </c>
      <c r="F37" s="12" t="str">
        <f>IF(OR(F$28="",$A37=""),"",E141)</f>
        <v/>
      </c>
      <c r="G37" s="12" t="str">
        <f>IF(OR(G$28="",$A37=""),"",F141)</f>
        <v/>
      </c>
      <c r="H37" s="12" t="str">
        <f>IF(OR(H$28="",$A37=""),"",G141)</f>
        <v/>
      </c>
      <c r="I37" s="12" t="str">
        <f>IF(OR(I$28="",$A37=""),"",H141)</f>
        <v/>
      </c>
      <c r="J37" s="12" t="str">
        <f>IF(OR(J$28="",$A37=""),"",I141)</f>
        <v/>
      </c>
      <c r="K37" s="12" t="str">
        <f>IF(OR(K$28="",$A37=""),"",J141)</f>
        <v/>
      </c>
      <c r="L37" s="12" t="str">
        <f>IF(OR(L$28="",$A37=""),"",K141)</f>
        <v/>
      </c>
      <c r="M37" s="113"/>
      <c r="N37" s="139"/>
    </row>
    <row r="38" spans="1:14" x14ac:dyDescent="0.2">
      <c r="A38" t="str">
        <f t="shared" si="5"/>
        <v xml:space="preserve">    Arizona Balance</v>
      </c>
      <c r="B38" s="81">
        <f>0.711*IF(C23&gt;0,1,C21/C22)</f>
        <v>0.71099999999999997</v>
      </c>
      <c r="C38" s="79" t="str">
        <f t="shared" ref="C38:C41" si="7">IF(OR(C$28="",$A38=""),"",B38)</f>
        <v/>
      </c>
      <c r="D38" s="32" t="str">
        <f>IF(OR(D$28="",$A38=""),"",C142)</f>
        <v/>
      </c>
      <c r="E38" s="32" t="str">
        <f>IF(OR(E$28="",$A38=""),"",D142)</f>
        <v/>
      </c>
      <c r="F38" s="32" t="str">
        <f>IF(OR(F$28="",$A38=""),"",E142)</f>
        <v/>
      </c>
      <c r="G38" s="32" t="str">
        <f>IF(OR(G$28="",$A38=""),"",F142)</f>
        <v/>
      </c>
      <c r="H38" s="12" t="str">
        <f>IF(OR(H$28="",$A38=""),"",G142)</f>
        <v/>
      </c>
      <c r="I38" s="12" t="str">
        <f>IF(OR(I$28="",$A38=""),"",H142)</f>
        <v/>
      </c>
      <c r="J38" s="12" t="str">
        <f>IF(OR(J$28="",$A38=""),"",I142)</f>
        <v/>
      </c>
      <c r="K38" s="12" t="str">
        <f>IF(OR(K$28="",$A38=""),"",J142)</f>
        <v/>
      </c>
      <c r="L38" s="12" t="str">
        <f>IF(OR(L$28="",$A38=""),"",K142)</f>
        <v/>
      </c>
      <c r="M38" s="27"/>
      <c r="N38" s="139"/>
    </row>
    <row r="39" spans="1:14" x14ac:dyDescent="0.2">
      <c r="A39" t="str">
        <f t="shared" si="5"/>
        <v xml:space="preserve">    Nevada Balance</v>
      </c>
      <c r="B39" s="81">
        <f>0.9556*IF(C23&gt;0,1,C21/C22)</f>
        <v>0.9556</v>
      </c>
      <c r="C39" s="79" t="str">
        <f t="shared" si="7"/>
        <v/>
      </c>
      <c r="D39" s="12" t="str">
        <f>IF(OR(D$28="",$A39=""),"",C143)</f>
        <v/>
      </c>
      <c r="E39" s="12" t="str">
        <f>IF(OR(E$28="",$A39=""),"",D143)</f>
        <v/>
      </c>
      <c r="F39" s="12" t="str">
        <f>IF(OR(F$28="",$A39=""),"",E143)</f>
        <v/>
      </c>
      <c r="G39" s="12" t="str">
        <f>IF(OR(G$28="",$A39=""),"",F143)</f>
        <v/>
      </c>
      <c r="H39" s="12" t="str">
        <f>IF(OR(H$28="",$A39=""),"",G143)</f>
        <v/>
      </c>
      <c r="I39" s="12" t="str">
        <f>IF(OR(I$28="",$A39=""),"",H143)</f>
        <v/>
      </c>
      <c r="J39" s="12" t="str">
        <f>IF(OR(J$28="",$A39=""),"",I143)</f>
        <v/>
      </c>
      <c r="K39" s="12" t="str">
        <f>IF(OR(K$28="",$A39=""),"",J143)</f>
        <v/>
      </c>
      <c r="L39" s="12" t="str">
        <f>IF(OR(L$28="",$A39=""),"",K143)</f>
        <v/>
      </c>
      <c r="N39" s="139"/>
    </row>
    <row r="40" spans="1:14" x14ac:dyDescent="0.2">
      <c r="A40" t="str">
        <f t="shared" si="5"/>
        <v xml:space="preserve">    Mexico Balance</v>
      </c>
      <c r="B40" s="81">
        <f>0.211*IF(C23&gt;0,1,C21/C22)</f>
        <v>0.21099999999999999</v>
      </c>
      <c r="C40" s="79" t="str">
        <f t="shared" si="7"/>
        <v/>
      </c>
      <c r="D40" s="12" t="str">
        <f>IF(OR(D$28="",$A40=""),"",C144)</f>
        <v/>
      </c>
      <c r="E40" s="12" t="str">
        <f>IF(OR(E$28="",$A40=""),"",D144)</f>
        <v/>
      </c>
      <c r="F40" s="12" t="str">
        <f>IF(OR(F$28="",$A40=""),"",E144)</f>
        <v/>
      </c>
      <c r="G40" s="12" t="str">
        <f>IF(OR(G$28="",$A40=""),"",F144)</f>
        <v/>
      </c>
      <c r="H40" s="12" t="str">
        <f>IF(OR(H$28="",$A40=""),"",G144)</f>
        <v/>
      </c>
      <c r="I40" s="12" t="str">
        <f>IF(OR(I$28="",$A40=""),"",H144)</f>
        <v/>
      </c>
      <c r="J40" s="12" t="str">
        <f>IF(OR(J$28="",$A40=""),"",I144)</f>
        <v/>
      </c>
      <c r="K40" s="12" t="str">
        <f>IF(OR(K$28="",$A40=""),"",J144)</f>
        <v/>
      </c>
      <c r="L40" s="12" t="str">
        <f>IF(OR(L$28="",$A40=""),"",K144)</f>
        <v/>
      </c>
      <c r="N40" s="139"/>
    </row>
    <row r="41" spans="1:14" x14ac:dyDescent="0.2">
      <c r="A41" t="str">
        <f t="shared" si="5"/>
        <v xml:space="preserve">    Tribal Nations of the Lower Basin Balance</v>
      </c>
      <c r="B41" s="81">
        <f>IF(C23&gt;0,C23,0)</f>
        <v>2.4471220000000002</v>
      </c>
      <c r="C41" s="79" t="str">
        <f t="shared" si="7"/>
        <v/>
      </c>
      <c r="D41" s="12" t="str">
        <f>IF(OR(D$28="",$A41=""),"",C145)</f>
        <v/>
      </c>
      <c r="E41" s="12" t="str">
        <f>IF(OR(E$28="",$A41=""),"",D145)</f>
        <v/>
      </c>
      <c r="F41" s="12" t="str">
        <f>IF(OR(F$28="",$A41=""),"",E145)</f>
        <v/>
      </c>
      <c r="G41" s="12" t="str">
        <f>IF(OR(G$28="",$A41=""),"",F145)</f>
        <v/>
      </c>
      <c r="H41" s="12" t="str">
        <f>IF(OR(H$28="",$A41=""),"",G145)</f>
        <v/>
      </c>
      <c r="I41" s="12" t="str">
        <f>IF(OR(I$28="",$A41=""),"",H145)</f>
        <v/>
      </c>
      <c r="J41" s="12" t="str">
        <f>IF(OR(J$28="",$A41=""),"",I145)</f>
        <v/>
      </c>
      <c r="K41" s="12" t="str">
        <f>IF(OR(K$28="",$A41=""),"",J145)</f>
        <v/>
      </c>
      <c r="L41" s="12" t="str">
        <f>IF(OR(L$28="",$A41=""),"",K145)</f>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
      <c r="A46" t="str">
        <f t="shared" ref="A46:A51" si="8">IF(A5="","","    "&amp;A5&amp;" Share")</f>
        <v xml:space="preserve">    Reclamation - Protect Zone Share</v>
      </c>
      <c r="C46" s="12" t="str">
        <f t="shared" ref="C46:G51" si="9">IF(OR(C$28="",$A46=""),"",C$45*C36/C$33)</f>
        <v/>
      </c>
      <c r="D46" s="12" t="str">
        <f t="shared" si="9"/>
        <v/>
      </c>
      <c r="E46" s="12" t="str">
        <f t="shared" si="9"/>
        <v/>
      </c>
      <c r="F46" s="12" t="str">
        <f t="shared" si="9"/>
        <v/>
      </c>
      <c r="G46" s="12" t="str">
        <f t="shared" si="9"/>
        <v/>
      </c>
      <c r="H46" s="12" t="str">
        <f t="shared" ref="H46:L51" si="10">IF(OR(H$28="",$A46=""),"",H$45*H36/H$35)</f>
        <v/>
      </c>
      <c r="I46" s="12" t="str">
        <f t="shared" si="10"/>
        <v/>
      </c>
      <c r="J46" s="12" t="str">
        <f t="shared" si="10"/>
        <v/>
      </c>
      <c r="K46" s="12" t="str">
        <f t="shared" si="10"/>
        <v/>
      </c>
      <c r="L46" s="12" t="str">
        <f t="shared" si="10"/>
        <v/>
      </c>
      <c r="N46" s="139"/>
    </row>
    <row r="47" spans="1:14" x14ac:dyDescent="0.2">
      <c r="A47" t="str">
        <f t="shared" si="8"/>
        <v xml:space="preserve">    California Share</v>
      </c>
      <c r="B47" s="1"/>
      <c r="C47" s="12" t="str">
        <f t="shared" si="9"/>
        <v/>
      </c>
      <c r="D47" s="12" t="str">
        <f t="shared" si="9"/>
        <v/>
      </c>
      <c r="E47" s="12" t="str">
        <f t="shared" si="9"/>
        <v/>
      </c>
      <c r="F47" s="12" t="str">
        <f t="shared" si="9"/>
        <v/>
      </c>
      <c r="G47" s="12" t="str">
        <f t="shared" si="9"/>
        <v/>
      </c>
      <c r="H47" s="12" t="str">
        <f t="shared" si="10"/>
        <v/>
      </c>
      <c r="I47" s="12" t="str">
        <f t="shared" si="10"/>
        <v/>
      </c>
      <c r="J47" s="12" t="str">
        <f t="shared" si="10"/>
        <v/>
      </c>
      <c r="K47" s="12" t="str">
        <f t="shared" si="10"/>
        <v/>
      </c>
      <c r="L47" s="12" t="str">
        <f t="shared" si="10"/>
        <v/>
      </c>
      <c r="N47" s="139"/>
    </row>
    <row r="48" spans="1:14" x14ac:dyDescent="0.2">
      <c r="A48" t="str">
        <f t="shared" si="8"/>
        <v xml:space="preserve">    Arizona Share</v>
      </c>
      <c r="B48" s="1"/>
      <c r="C48" s="12" t="str">
        <f t="shared" si="9"/>
        <v/>
      </c>
      <c r="D48" s="12" t="str">
        <f t="shared" si="9"/>
        <v/>
      </c>
      <c r="E48" s="12" t="str">
        <f t="shared" si="9"/>
        <v/>
      </c>
      <c r="F48" s="12" t="str">
        <f t="shared" si="9"/>
        <v/>
      </c>
      <c r="G48" s="12" t="str">
        <f t="shared" si="9"/>
        <v/>
      </c>
      <c r="H48" s="12" t="str">
        <f t="shared" si="10"/>
        <v/>
      </c>
      <c r="I48" s="12" t="str">
        <f t="shared" si="10"/>
        <v/>
      </c>
      <c r="J48" s="12" t="str">
        <f t="shared" si="10"/>
        <v/>
      </c>
      <c r="K48" s="12" t="str">
        <f t="shared" si="10"/>
        <v/>
      </c>
      <c r="L48" s="12" t="str">
        <f t="shared" si="10"/>
        <v/>
      </c>
      <c r="N48" s="139"/>
    </row>
    <row r="49" spans="1:16" x14ac:dyDescent="0.2">
      <c r="A49" t="str">
        <f t="shared" si="8"/>
        <v xml:space="preserve">    Nevada Share</v>
      </c>
      <c r="B49" s="1"/>
      <c r="C49" s="12" t="str">
        <f t="shared" si="9"/>
        <v/>
      </c>
      <c r="D49" s="12" t="str">
        <f t="shared" si="9"/>
        <v/>
      </c>
      <c r="E49" s="12" t="str">
        <f t="shared" si="9"/>
        <v/>
      </c>
      <c r="F49" s="12" t="str">
        <f t="shared" si="9"/>
        <v/>
      </c>
      <c r="G49" s="12" t="str">
        <f t="shared" si="9"/>
        <v/>
      </c>
      <c r="H49" s="12" t="str">
        <f t="shared" si="10"/>
        <v/>
      </c>
      <c r="I49" s="12" t="str">
        <f t="shared" si="10"/>
        <v/>
      </c>
      <c r="J49" s="12" t="str">
        <f t="shared" si="10"/>
        <v/>
      </c>
      <c r="K49" s="12" t="str">
        <f t="shared" si="10"/>
        <v/>
      </c>
      <c r="L49" s="12" t="str">
        <f t="shared" si="10"/>
        <v/>
      </c>
      <c r="N49" s="139"/>
    </row>
    <row r="50" spans="1:16" x14ac:dyDescent="0.2">
      <c r="A50" t="str">
        <f t="shared" si="8"/>
        <v xml:space="preserve">    Mexico Share</v>
      </c>
      <c r="B50" s="1"/>
      <c r="C50" s="12" t="str">
        <f t="shared" si="9"/>
        <v/>
      </c>
      <c r="D50" s="12" t="str">
        <f t="shared" si="9"/>
        <v/>
      </c>
      <c r="E50" s="12" t="str">
        <f t="shared" si="9"/>
        <v/>
      </c>
      <c r="F50" s="12" t="str">
        <f t="shared" si="9"/>
        <v/>
      </c>
      <c r="G50" s="12" t="str">
        <f t="shared" si="9"/>
        <v/>
      </c>
      <c r="H50" s="12" t="str">
        <f t="shared" si="10"/>
        <v/>
      </c>
      <c r="I50" s="12" t="str">
        <f t="shared" si="10"/>
        <v/>
      </c>
      <c r="J50" s="12" t="str">
        <f t="shared" si="10"/>
        <v/>
      </c>
      <c r="K50" s="12" t="str">
        <f t="shared" si="10"/>
        <v/>
      </c>
      <c r="L50" s="12" t="str">
        <f t="shared" si="10"/>
        <v/>
      </c>
      <c r="N50" s="139"/>
    </row>
    <row r="51" spans="1:16" x14ac:dyDescent="0.2">
      <c r="A51" t="str">
        <f t="shared" si="8"/>
        <v xml:space="preserve">    Tribal Nations of the Lower Basin Share</v>
      </c>
      <c r="B51" s="1"/>
      <c r="C51" s="12" t="str">
        <f t="shared" si="9"/>
        <v/>
      </c>
      <c r="D51" s="12" t="str">
        <f t="shared" si="9"/>
        <v/>
      </c>
      <c r="E51" s="12" t="str">
        <f t="shared" si="9"/>
        <v/>
      </c>
      <c r="F51" s="12" t="str">
        <f t="shared" si="9"/>
        <v/>
      </c>
      <c r="G51" s="12" t="str">
        <f t="shared" si="9"/>
        <v/>
      </c>
      <c r="H51" s="12" t="str">
        <f t="shared" si="10"/>
        <v/>
      </c>
      <c r="I51" s="12" t="str">
        <f t="shared" si="10"/>
        <v/>
      </c>
      <c r="J51" s="12" t="str">
        <f t="shared" si="10"/>
        <v/>
      </c>
      <c r="K51" s="12" t="str">
        <f t="shared" si="10"/>
        <v/>
      </c>
      <c r="L51" s="12" t="str">
        <f t="shared" si="10"/>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
      <c r="A53" t="str">
        <f>IF(A5="","","    To "&amp;A5)</f>
        <v xml:space="preserve">    To Reclamation - Protect Zone</v>
      </c>
      <c r="B53" s="183" t="s">
        <v>211</v>
      </c>
      <c r="C53" s="271" t="str">
        <f>IF(OR(C$28="",$A55=""),"",C46)</f>
        <v/>
      </c>
      <c r="D53" s="80" t="str">
        <f>IF(OR(D$28="",$A55=""),"",D46)</f>
        <v/>
      </c>
      <c r="E53" s="80" t="str">
        <f t="shared" ref="E53:G53" si="11">IF(OR(E$28="",$A55=""),"",E46)</f>
        <v/>
      </c>
      <c r="F53" s="80" t="str">
        <f t="shared" si="11"/>
        <v/>
      </c>
      <c r="G53" s="80" t="str">
        <f t="shared" si="11"/>
        <v/>
      </c>
      <c r="H53" s="12" t="str">
        <f t="shared" ref="H53:L53" si="12">IF(H28="","",SUM(H28:H30))</f>
        <v/>
      </c>
      <c r="I53" s="12" t="str">
        <f t="shared" si="12"/>
        <v/>
      </c>
      <c r="J53" s="12" t="str">
        <f t="shared" si="12"/>
        <v/>
      </c>
      <c r="K53" s="12" t="str">
        <f t="shared" si="12"/>
        <v/>
      </c>
      <c r="L53" s="12" t="str">
        <f t="shared" si="12"/>
        <v/>
      </c>
      <c r="M53" s="18">
        <f>SUM(C55:C59)</f>
        <v>0</v>
      </c>
      <c r="N53" s="180"/>
    </row>
    <row r="54" spans="1:16" x14ac:dyDescent="0.2">
      <c r="A54" t="s">
        <v>245</v>
      </c>
      <c r="C54" s="273" t="str">
        <f>IF(OR(C$28="",$A56=""),"",C52-C53)</f>
        <v/>
      </c>
      <c r="D54" s="80" t="str">
        <f>IF(OR(D$28="",$A56=""),"",D52-D53)</f>
        <v/>
      </c>
      <c r="E54" s="80" t="str">
        <f t="shared" ref="E54:G54" si="13">IF(OR(E$28="",$A56=""),"",E52-E53)</f>
        <v/>
      </c>
      <c r="F54" s="80" t="str">
        <f t="shared" si="13"/>
        <v/>
      </c>
      <c r="G54" s="80" t="str">
        <f t="shared" si="13"/>
        <v/>
      </c>
      <c r="H54" s="79" t="str">
        <f t="shared" ref="H54" si="14">IF(OR(H$28="",$A55=""),"",MAX(0,H53-SUM(H55:H60)))</f>
        <v/>
      </c>
      <c r="I54" s="79" t="str">
        <f t="shared" ref="I54" si="15">IF(OR(I$28="",$A55=""),"",MAX(0,I53-SUM(I55:I60)))</f>
        <v/>
      </c>
      <c r="J54" s="79" t="str">
        <f t="shared" ref="J54" si="16">IF(OR(J$28="",$A55=""),"",MAX(0,J53-SUM(J55:J60)))</f>
        <v/>
      </c>
      <c r="K54" s="79" t="str">
        <f t="shared" ref="K54" si="17">IF(OR(K$28="",$A55=""),"",MAX(0,K53-SUM(K55:K60)))</f>
        <v/>
      </c>
      <c r="L54" s="79" t="str">
        <f t="shared" ref="L54" si="18">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19">IF(OR(D$28="",$A55=""),"",($B55*D$54))</f>
        <v/>
      </c>
      <c r="E55" s="272" t="str">
        <f t="shared" si="19"/>
        <v/>
      </c>
      <c r="F55" s="272" t="str">
        <f t="shared" si="19"/>
        <v/>
      </c>
      <c r="G55" s="272" t="str">
        <f t="shared" si="19"/>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0">IF(OR(C$28="",$A56=""),"",($B56*C$54))</f>
        <v/>
      </c>
      <c r="D56" s="272" t="str">
        <f t="shared" si="20"/>
        <v/>
      </c>
      <c r="E56" s="272" t="str">
        <f t="shared" si="20"/>
        <v/>
      </c>
      <c r="F56" s="272" t="str">
        <f t="shared" si="20"/>
        <v/>
      </c>
      <c r="G56" s="272" t="str">
        <f t="shared" si="20"/>
        <v/>
      </c>
      <c r="H56" s="80" t="str">
        <f t="shared" ref="H56" si="21">IF(OR(H$28="",$A56=""),"",MIN(H52,H$53-SUM(H57:H60)))</f>
        <v/>
      </c>
      <c r="I56" s="80" t="str">
        <f t="shared" ref="I56" si="22">IF(OR(I$28="",$A56=""),"",MIN(I52,I$53-SUM(I57:I60)))</f>
        <v/>
      </c>
      <c r="J56" s="80" t="str">
        <f t="shared" ref="J56" si="23">IF(OR(J$28="",$A56=""),"",MIN(J52,J$53-SUM(J57:J60)))</f>
        <v/>
      </c>
      <c r="K56" s="80" t="str">
        <f t="shared" ref="K56" si="24">IF(OR(K$28="",$A56=""),"",MIN(K52,K$53-SUM(K57:K60)))</f>
        <v/>
      </c>
      <c r="L56" s="80" t="str">
        <f t="shared" ref="L56" si="25">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0"/>
        <v/>
      </c>
      <c r="E57" s="272" t="str">
        <f t="shared" si="20"/>
        <v/>
      </c>
      <c r="F57" s="272" t="str">
        <f t="shared" si="20"/>
        <v/>
      </c>
      <c r="G57" s="272" t="str">
        <f t="shared" si="20"/>
        <v/>
      </c>
      <c r="H57" s="103" t="str">
        <f t="shared" ref="H57" si="26">IF(OR(H$28="",$A57=""),"",MIN($B57,H$53-SUM(H58:H60)))</f>
        <v/>
      </c>
      <c r="I57" s="103" t="str">
        <f t="shared" ref="I57" si="27">IF(OR(I$28="",$A57=""),"",MIN($B57,I$53-SUM(I58:I60)))</f>
        <v/>
      </c>
      <c r="J57" s="103" t="str">
        <f t="shared" ref="J57" si="28">IF(OR(J$28="",$A57=""),"",MIN($B57,J$53-SUM(J58:J60)))</f>
        <v/>
      </c>
      <c r="K57" s="103" t="str">
        <f t="shared" ref="K57" si="29">IF(OR(K$28="",$A57=""),"",MIN($B57,K$53-SUM(K58:K60)))</f>
        <v/>
      </c>
      <c r="L57" s="103" t="str">
        <f t="shared" ref="L57" si="30">IF(OR(L$28="",$A57=""),"",MIN($B57,L$53-SUM(L58:L60)))</f>
        <v/>
      </c>
      <c r="M57" s="205" t="e">
        <f t="shared" ref="M57:M58" si="31">C57/C$54</f>
        <v>#VALUE!</v>
      </c>
      <c r="N57" s="140"/>
    </row>
    <row r="58" spans="1:16" x14ac:dyDescent="0.2">
      <c r="A58" t="str">
        <f>IF(A9="","","       To "&amp;A9)</f>
        <v xml:space="preserve">       To Mexico</v>
      </c>
      <c r="B58" s="199">
        <f>DivideInflow!U8</f>
        <v>0.16666666666666666</v>
      </c>
      <c r="C58" s="272" t="str">
        <f t="shared" si="20"/>
        <v/>
      </c>
      <c r="D58" s="272" t="str">
        <f t="shared" si="20"/>
        <v/>
      </c>
      <c r="E58" s="272" t="str">
        <f t="shared" si="20"/>
        <v/>
      </c>
      <c r="F58" s="272" t="str">
        <f t="shared" si="20"/>
        <v/>
      </c>
      <c r="G58" s="272" t="str">
        <f t="shared" si="20"/>
        <v/>
      </c>
      <c r="H58" s="79" t="str">
        <f t="shared" ref="H58" si="32">IF(OR(H$28="",$A58=""),"",MIN($B58,H$53-SUM(H59:H60)))</f>
        <v/>
      </c>
      <c r="I58" s="79" t="str">
        <f t="shared" ref="I58" si="33">IF(OR(I$28="",$A58=""),"",MIN($B58,I$53-SUM(I59:I60)))</f>
        <v/>
      </c>
      <c r="J58" s="79" t="str">
        <f t="shared" ref="J58" si="34">IF(OR(J$28="",$A58=""),"",MIN($B58,J$53-SUM(J59:J60)))</f>
        <v/>
      </c>
      <c r="K58" s="79" t="str">
        <f t="shared" ref="K58" si="35">IF(OR(K$28="",$A58=""),"",MIN($B58,K$53-SUM(K59:K60)))</f>
        <v/>
      </c>
      <c r="L58" s="79" t="str">
        <f t="shared" ref="L58" si="36">IF(OR(L$28="",$A58=""),"",MIN($B58,L$53-SUM(L59:L60)))</f>
        <v/>
      </c>
      <c r="M58" s="205" t="e">
        <f t="shared" si="31"/>
        <v>#VALUE!</v>
      </c>
      <c r="N58" s="140"/>
    </row>
    <row r="59" spans="1:16" x14ac:dyDescent="0.2">
      <c r="A59" t="str">
        <f>IF(A10="","","       To "&amp;A10)</f>
        <v xml:space="preserve">       To Tribal Nations of the Lower Basin</v>
      </c>
      <c r="B59" s="199">
        <f>IF(A59="","",DivideInflow!V8)</f>
        <v>0.10579888888888889</v>
      </c>
      <c r="C59" s="272" t="str">
        <f t="shared" si="20"/>
        <v/>
      </c>
      <c r="D59" s="272" t="str">
        <f t="shared" si="20"/>
        <v/>
      </c>
      <c r="E59" s="272" t="str">
        <f t="shared" si="20"/>
        <v/>
      </c>
      <c r="F59" s="272" t="str">
        <f t="shared" si="20"/>
        <v/>
      </c>
      <c r="G59" s="272" t="str">
        <f t="shared" si="20"/>
        <v/>
      </c>
      <c r="H59" s="149" t="str">
        <f t="shared" ref="H59:L59" si="37">IF(OR(H$28="",$A59=""),"",IF(H$53&gt;H51,H51,H53))</f>
        <v/>
      </c>
      <c r="I59" s="149" t="str">
        <f t="shared" si="37"/>
        <v/>
      </c>
      <c r="J59" s="149" t="str">
        <f t="shared" si="37"/>
        <v/>
      </c>
      <c r="K59" s="149" t="str">
        <f t="shared" si="37"/>
        <v/>
      </c>
      <c r="L59" s="149" t="str">
        <f t="shared" si="37"/>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38">IF(OR(H$28="",$A60=""),"",MIN(H31,H53-H59))</f>
        <v/>
      </c>
      <c r="I60" s="150" t="str">
        <f t="shared" ref="I60" si="39">IF(OR(I$28="",$A60=""),"",MIN(I31,I53-I59))</f>
        <v/>
      </c>
      <c r="J60" s="150" t="str">
        <f t="shared" ref="J60" si="40">IF(OR(J$28="",$A60=""),"",MIN(J31,J53-J59))</f>
        <v/>
      </c>
      <c r="K60" s="150" t="str">
        <f t="shared" ref="K60" si="41">IF(OR(K$28="",$A60=""),"",MIN(K31,K53-K59))</f>
        <v/>
      </c>
      <c r="L60" s="150" t="str">
        <f t="shared" ref="L60" si="42">IF(OR(L$28="",$A60=""),"",MIN(L31,L53-L59))</f>
        <v/>
      </c>
      <c r="M60" s="205" t="e">
        <f t="shared" ref="M60" si="43">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6" t="s">
        <v>146</v>
      </c>
    </row>
    <row r="64" spans="1:16" x14ac:dyDescent="0.2">
      <c r="A64" s="446" t="s">
        <v>474</v>
      </c>
      <c r="C64" s="12" t="str">
        <f>IF(OR(C$28="",$A69=""),"",C36+C53-C46)</f>
        <v/>
      </c>
      <c r="D64" s="12" t="str">
        <f t="shared" ref="D64:G64" si="44">IF(OR(D$28="",$A69=""),"",D36+D53-D46)</f>
        <v/>
      </c>
      <c r="E64" s="12" t="str">
        <f t="shared" si="44"/>
        <v/>
      </c>
      <c r="F64" s="12" t="str">
        <f t="shared" si="44"/>
        <v/>
      </c>
      <c r="G64" s="12" t="str">
        <f t="shared" si="44"/>
        <v/>
      </c>
      <c r="H64" s="12" t="str">
        <f t="shared" ref="E64:L64" si="45">IF(OR(H$28="",$A64=""),"",H22+H40-H32+H60)</f>
        <v/>
      </c>
      <c r="I64" s="12" t="str">
        <f t="shared" si="45"/>
        <v/>
      </c>
      <c r="J64" s="12" t="str">
        <f t="shared" si="45"/>
        <v/>
      </c>
      <c r="K64" s="12" t="str">
        <f t="shared" si="45"/>
        <v/>
      </c>
      <c r="L64" s="12" t="str">
        <f t="shared" si="45"/>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467</v>
      </c>
    </row>
    <row r="67" spans="1:14" x14ac:dyDescent="0.2">
      <c r="A67" t="s">
        <v>464</v>
      </c>
      <c r="C67" s="324" t="str">
        <f>IF(OR(C65="",C66=""),"",IF(C66&gt;0,ABS(C65*C66),C65*C66)
)</f>
        <v/>
      </c>
      <c r="D67" s="324" t="str">
        <f>IF(OR(D65="",D66=""),"",IF(D66&gt;0,ABS(D65*D66),D65*D66)
)</f>
        <v/>
      </c>
      <c r="E67" s="324" t="str">
        <f t="shared" ref="E67:G67" si="46">IF(OR(E65="",E66=""),"",IF(E66&gt;0,ABS(E65*E66),E65*E66)
)</f>
        <v/>
      </c>
      <c r="F67" s="324" t="str">
        <f t="shared" si="46"/>
        <v/>
      </c>
      <c r="G67" s="324" t="str">
        <f t="shared" si="46"/>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7">IF(OR(C$28="",$A68=""),"",C$131)</f>
        <v/>
      </c>
      <c r="D68" s="42" t="str">
        <f>IF(OR(D$28="",$A68=""),"",D$131)</f>
        <v/>
      </c>
      <c r="E68" s="42" t="str">
        <f t="shared" si="47"/>
        <v/>
      </c>
      <c r="F68" s="42" t="str">
        <f t="shared" si="47"/>
        <v/>
      </c>
      <c r="G68" s="42" t="str">
        <f t="shared" si="47"/>
        <v/>
      </c>
      <c r="H68" s="42" t="str">
        <f t="shared" si="47"/>
        <v/>
      </c>
      <c r="I68" s="42" t="str">
        <f t="shared" si="47"/>
        <v/>
      </c>
      <c r="J68" s="42" t="str">
        <f t="shared" si="47"/>
        <v/>
      </c>
      <c r="K68" s="42" t="str">
        <f t="shared" si="47"/>
        <v/>
      </c>
      <c r="L68" s="42" t="str">
        <f t="shared" si="47"/>
        <v/>
      </c>
      <c r="M68" t="str">
        <f t="shared" si="47"/>
        <v/>
      </c>
      <c r="N68" s="138" t="s">
        <v>149</v>
      </c>
    </row>
    <row r="69" spans="1:14" x14ac:dyDescent="0.2">
      <c r="A69" s="1" t="str">
        <f>IF(A66="","","   Available Water [maf]")</f>
        <v xml:space="preserve">   Available Water [maf]</v>
      </c>
      <c r="C69" s="12" t="str">
        <f>IF(OR(C$28="",$A69=""),"",C36+C53-C46+C65)</f>
        <v/>
      </c>
      <c r="D69" s="12" t="str">
        <f>IF(OR(D$28="",$A69=""),"",D36+D53-D46+D65)</f>
        <v/>
      </c>
      <c r="E69" s="12" t="str">
        <f t="shared" ref="E69:G69" si="48">IF(OR(E$28="",$A69=""),"",E36+E53-E46+E65)</f>
        <v/>
      </c>
      <c r="F69" s="12" t="str">
        <f t="shared" si="48"/>
        <v/>
      </c>
      <c r="G69" s="12" t="str">
        <f t="shared" si="48"/>
        <v/>
      </c>
      <c r="H69" s="12" t="str">
        <f t="shared" ref="H69:L69" si="49">IF(OR(H$28="",$A69=""),"",H36+H54-H46+H65)</f>
        <v/>
      </c>
      <c r="I69" s="12" t="str">
        <f t="shared" si="49"/>
        <v/>
      </c>
      <c r="J69" s="12" t="str">
        <f t="shared" si="49"/>
        <v/>
      </c>
      <c r="K69" s="12" t="str">
        <f t="shared" si="49"/>
        <v/>
      </c>
      <c r="L69" s="12" t="str">
        <f t="shared" si="49"/>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0">IF(OR(D$28="",$A71=""),"",D69-D70)</f>
        <v/>
      </c>
      <c r="E71" s="12" t="str">
        <f t="shared" si="50"/>
        <v/>
      </c>
      <c r="F71" s="12" t="str">
        <f t="shared" ref="F71:G71" si="51">IF(OR(F$28="",$A71=""),"",F69-F70)</f>
        <v/>
      </c>
      <c r="G71" s="12" t="str">
        <f t="shared" si="51"/>
        <v/>
      </c>
      <c r="H71" s="12" t="str">
        <f t="shared" si="50"/>
        <v/>
      </c>
      <c r="I71" s="12" t="str">
        <f t="shared" si="50"/>
        <v/>
      </c>
      <c r="J71" s="12" t="str">
        <f t="shared" si="50"/>
        <v/>
      </c>
      <c r="K71" s="12" t="str">
        <f t="shared" si="50"/>
        <v/>
      </c>
      <c r="L71" s="12" t="str">
        <f t="shared" si="50"/>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s="446" t="s">
        <v>474</v>
      </c>
      <c r="C74" s="12" t="str">
        <f>IF(OR(C$28="",$A79=""),"",C37+C55-C47)</f>
        <v/>
      </c>
      <c r="D74" s="12" t="str">
        <f t="shared" ref="D74:G74" si="52">IF(OR(D$28="",$A79=""),"",D37+D55-D47)</f>
        <v/>
      </c>
      <c r="E74" s="12" t="str">
        <f t="shared" si="52"/>
        <v/>
      </c>
      <c r="F74" s="12" t="str">
        <f t="shared" si="52"/>
        <v/>
      </c>
      <c r="G74" s="12" t="str">
        <f t="shared" si="52"/>
        <v/>
      </c>
      <c r="H74" s="12" t="str">
        <f t="shared" ref="E74:L74" si="53">IF(OR(H$28="",$A74=""),"",H32+H50-H42+H70)</f>
        <v/>
      </c>
      <c r="I74" s="12" t="str">
        <f t="shared" si="53"/>
        <v/>
      </c>
      <c r="J74" s="12" t="str">
        <f t="shared" si="53"/>
        <v/>
      </c>
      <c r="K74" s="12" t="str">
        <f t="shared" si="53"/>
        <v/>
      </c>
      <c r="L74" s="12" t="str">
        <f t="shared" si="53"/>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467</v>
      </c>
    </row>
    <row r="77" spans="1:14" x14ac:dyDescent="0.2">
      <c r="A77" t="s">
        <v>464</v>
      </c>
      <c r="C77" s="324" t="str">
        <f>IF(OR(C75="",C76=""),"",IF(C76&gt;0,ABS(C75*C76),C75*C76)
)</f>
        <v/>
      </c>
      <c r="D77" s="324" t="str">
        <f t="shared" ref="D77:G77" si="54">IF(OR(D75="",D76=""),"",IF(D76&gt;0,ABS(D75*D76),D75*D76)
)</f>
        <v/>
      </c>
      <c r="E77" s="324" t="str">
        <f t="shared" si="54"/>
        <v/>
      </c>
      <c r="F77" s="324" t="str">
        <f t="shared" si="54"/>
        <v/>
      </c>
      <c r="G77" s="324" t="str">
        <f t="shared" si="54"/>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5">IF(OR(C$28="",$A78=""),"",C$131)</f>
        <v/>
      </c>
      <c r="D78" s="42" t="str">
        <f>IF(OR(D$28="",$A78=""),"",D$131)</f>
        <v/>
      </c>
      <c r="E78" s="42" t="str">
        <f t="shared" si="55"/>
        <v/>
      </c>
      <c r="F78" s="42" t="str">
        <f t="shared" si="55"/>
        <v/>
      </c>
      <c r="G78" s="42" t="str">
        <f t="shared" si="55"/>
        <v/>
      </c>
      <c r="H78" s="42" t="str">
        <f t="shared" si="55"/>
        <v/>
      </c>
      <c r="I78" s="42" t="str">
        <f t="shared" si="55"/>
        <v/>
      </c>
      <c r="J78" s="42" t="str">
        <f t="shared" si="55"/>
        <v/>
      </c>
      <c r="K78" s="42" t="str">
        <f t="shared" si="55"/>
        <v/>
      </c>
      <c r="L78" s="42" t="str">
        <f t="shared" si="55"/>
        <v/>
      </c>
      <c r="M78" t="str">
        <f t="shared" si="55"/>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6">IF(OR(E$28="",$A79=""),"",E37+E55-E47+E75)</f>
        <v/>
      </c>
      <c r="F79" s="12" t="str">
        <f t="shared" si="56"/>
        <v/>
      </c>
      <c r="G79" s="12" t="str">
        <f t="shared" si="56"/>
        <v/>
      </c>
      <c r="H79" s="12" t="str">
        <f t="shared" ref="H79:L79" si="57">IF(OR(H$28="",$A79=""),"",H37+H55-H47+H75)</f>
        <v/>
      </c>
      <c r="I79" s="12" t="str">
        <f t="shared" si="57"/>
        <v/>
      </c>
      <c r="J79" s="12" t="str">
        <f t="shared" si="57"/>
        <v/>
      </c>
      <c r="K79" s="12" t="str">
        <f t="shared" si="57"/>
        <v/>
      </c>
      <c r="L79" s="12" t="str">
        <f t="shared" si="57"/>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58">IF(OR(D$28="",$A81=""),"",D79-D80)</f>
        <v/>
      </c>
      <c r="E81" s="12" t="str">
        <f t="shared" si="58"/>
        <v/>
      </c>
      <c r="F81" s="12" t="str">
        <f t="shared" ref="F81:G81" si="59">IF(OR(F$28="",$A81=""),"",F79-F80)</f>
        <v/>
      </c>
      <c r="G81" s="12" t="str">
        <f t="shared" si="59"/>
        <v/>
      </c>
      <c r="H81" s="12" t="str">
        <f t="shared" si="58"/>
        <v/>
      </c>
      <c r="I81" s="12" t="str">
        <f t="shared" si="58"/>
        <v/>
      </c>
      <c r="J81" s="12" t="str">
        <f t="shared" si="58"/>
        <v/>
      </c>
      <c r="K81" s="12" t="str">
        <f t="shared" si="58"/>
        <v/>
      </c>
      <c r="L81" s="12" t="str">
        <f t="shared" si="58"/>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s="446" t="s">
        <v>474</v>
      </c>
      <c r="C84" s="12" t="str">
        <f>IF(OR(C$28="",$A89=""),"",C38+C56-C48)</f>
        <v/>
      </c>
      <c r="D84" s="12" t="str">
        <f t="shared" ref="D84:G84" si="60">IF(OR(D$28="",$A89=""),"",D38+D56-D48)</f>
        <v/>
      </c>
      <c r="E84" s="12" t="str">
        <f t="shared" si="60"/>
        <v/>
      </c>
      <c r="F84" s="12" t="str">
        <f t="shared" si="60"/>
        <v/>
      </c>
      <c r="G84" s="12" t="str">
        <f t="shared" si="60"/>
        <v/>
      </c>
      <c r="H84" s="12" t="str">
        <f t="shared" ref="D84:L84" si="61">IF(OR(H$28="",$A84=""),"",H33+H51-H43+H80)</f>
        <v/>
      </c>
      <c r="I84" s="12" t="str">
        <f t="shared" si="61"/>
        <v/>
      </c>
      <c r="J84" s="12" t="str">
        <f t="shared" si="61"/>
        <v/>
      </c>
      <c r="K84" s="12" t="str">
        <f t="shared" si="61"/>
        <v/>
      </c>
      <c r="L84" s="12" t="str">
        <f t="shared" si="61"/>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467</v>
      </c>
    </row>
    <row r="87" spans="1:14" x14ac:dyDescent="0.2">
      <c r="A87" t="s">
        <v>464</v>
      </c>
      <c r="C87" s="324" t="str">
        <f>IF(OR(C85="",C86=""),"",IF(C86&gt;0,ABS(C85*C86),C85*C86)
)</f>
        <v/>
      </c>
      <c r="D87" s="324" t="str">
        <f t="shared" ref="D87:G87" si="62">IF(OR(D85="",D86=""),"",IF(D86&gt;0,ABS(D85*D86),D85*D86)
)</f>
        <v/>
      </c>
      <c r="E87" s="324" t="str">
        <f t="shared" si="62"/>
        <v/>
      </c>
      <c r="F87" s="324" t="str">
        <f t="shared" si="62"/>
        <v/>
      </c>
      <c r="G87" s="324" t="str">
        <f t="shared" si="62"/>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3">IF(OR(C$28="",$A88=""),"",C$131)</f>
        <v/>
      </c>
      <c r="D88" s="42" t="str">
        <f>IF(OR(D$28="",$A88=""),"",D$131)</f>
        <v/>
      </c>
      <c r="E88" s="42" t="str">
        <f t="shared" si="63"/>
        <v/>
      </c>
      <c r="F88" s="42" t="str">
        <f t="shared" si="63"/>
        <v/>
      </c>
      <c r="G88" s="42" t="str">
        <f t="shared" si="63"/>
        <v/>
      </c>
      <c r="H88" s="42" t="str">
        <f t="shared" si="63"/>
        <v/>
      </c>
      <c r="I88" s="42" t="str">
        <f t="shared" si="63"/>
        <v/>
      </c>
      <c r="J88" s="42" t="str">
        <f t="shared" si="63"/>
        <v/>
      </c>
      <c r="K88" s="42" t="str">
        <f t="shared" si="63"/>
        <v/>
      </c>
      <c r="L88" s="42" t="str">
        <f t="shared" si="63"/>
        <v/>
      </c>
      <c r="M88" t="str">
        <f t="shared" si="63"/>
        <v/>
      </c>
      <c r="N88" s="138" t="s">
        <v>149</v>
      </c>
    </row>
    <row r="89" spans="1:14" x14ac:dyDescent="0.2">
      <c r="A89" s="1" t="str">
        <f>IF(A86="","","   Available Water [maf]")</f>
        <v xml:space="preserve">   Available Water [maf]</v>
      </c>
      <c r="C89" s="12" t="str">
        <f>IF(OR(C$28="",$A89=""),"",C38+C56-C48+C85)</f>
        <v/>
      </c>
      <c r="D89" s="12" t="str">
        <f t="shared" ref="D89:L89" si="64">IF(OR(D$28="",$A89=""),"",D38+D56-D48+D85)</f>
        <v/>
      </c>
      <c r="E89" s="12" t="str">
        <f t="shared" si="64"/>
        <v/>
      </c>
      <c r="F89" s="12" t="str">
        <f t="shared" ref="F89:G89" si="65">IF(OR(F$28="",$A89=""),"",F38+F56-F48+F85)</f>
        <v/>
      </c>
      <c r="G89" s="12" t="str">
        <f t="shared" si="65"/>
        <v/>
      </c>
      <c r="H89" s="12" t="str">
        <f t="shared" si="64"/>
        <v/>
      </c>
      <c r="I89" s="12" t="str">
        <f t="shared" si="64"/>
        <v/>
      </c>
      <c r="J89" s="12" t="str">
        <f t="shared" si="64"/>
        <v/>
      </c>
      <c r="K89" s="12" t="str">
        <f t="shared" si="64"/>
        <v/>
      </c>
      <c r="L89" s="12" t="str">
        <f t="shared" si="64"/>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6">IF(OR(D$28="",$A91=""),"",D89-D90)</f>
        <v/>
      </c>
      <c r="E91" s="12" t="str">
        <f t="shared" si="66"/>
        <v/>
      </c>
      <c r="F91" s="12" t="str">
        <f t="shared" ref="F91:G91" si="67">IF(OR(F$28="",$A91=""),"",F89-F90)</f>
        <v/>
      </c>
      <c r="G91" s="12" t="str">
        <f t="shared" si="67"/>
        <v/>
      </c>
      <c r="H91" s="12" t="str">
        <f t="shared" si="66"/>
        <v/>
      </c>
      <c r="I91" s="12" t="str">
        <f t="shared" si="66"/>
        <v/>
      </c>
      <c r="J91" s="12" t="str">
        <f t="shared" si="66"/>
        <v/>
      </c>
      <c r="K91" s="12" t="str">
        <f t="shared" si="66"/>
        <v/>
      </c>
      <c r="L91" s="12" t="str">
        <f t="shared" si="66"/>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s="446" t="s">
        <v>474</v>
      </c>
      <c r="C94" s="12" t="str">
        <f>IF(OR(C$28="",$A99=""),"",C39+C57-C49)</f>
        <v/>
      </c>
      <c r="D94" s="12" t="str">
        <f t="shared" ref="D94:G94" si="68">IF(OR(D$28="",$A99=""),"",D39+D57-D49)</f>
        <v/>
      </c>
      <c r="E94" s="12" t="str">
        <f t="shared" si="68"/>
        <v/>
      </c>
      <c r="F94" s="12" t="str">
        <f t="shared" si="68"/>
        <v/>
      </c>
      <c r="G94" s="12" t="str">
        <f t="shared" si="68"/>
        <v/>
      </c>
      <c r="H94" s="114" t="str">
        <f t="shared" ref="D94:L94" si="69">IF(OR(H$28="",$A94=""),"",H34+H52-H44+H90)</f>
        <v/>
      </c>
      <c r="I94" s="114" t="str">
        <f t="shared" si="69"/>
        <v/>
      </c>
      <c r="J94" s="114" t="str">
        <f t="shared" si="69"/>
        <v/>
      </c>
      <c r="K94" s="114" t="str">
        <f t="shared" si="69"/>
        <v/>
      </c>
      <c r="L94" s="114" t="str">
        <f t="shared" si="69"/>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467</v>
      </c>
    </row>
    <row r="97" spans="1:14" x14ac:dyDescent="0.2">
      <c r="A97" t="s">
        <v>464</v>
      </c>
      <c r="C97" s="324" t="str">
        <f>IF(OR(C95="",C96=""),"",IF(C96&gt;0,ABS(C95*C96),C95*C96)
)</f>
        <v/>
      </c>
      <c r="D97" s="324" t="str">
        <f t="shared" ref="D97:G97" si="70">IF(OR(D95="",D96=""),"",IF(D96&gt;0,ABS(D95*D96),D95*D96)
)</f>
        <v/>
      </c>
      <c r="E97" s="324" t="str">
        <f t="shared" si="70"/>
        <v/>
      </c>
      <c r="F97" s="324" t="str">
        <f t="shared" si="70"/>
        <v/>
      </c>
      <c r="G97" s="324" t="str">
        <f t="shared" si="70"/>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1">IF(OR(C$28="",$A98=""),"",C$131)</f>
        <v/>
      </c>
      <c r="D98" s="42" t="str">
        <f>IF(OR(D$28="",$A98=""),"",D$131)</f>
        <v/>
      </c>
      <c r="E98" s="42" t="str">
        <f t="shared" si="71"/>
        <v/>
      </c>
      <c r="F98" s="42" t="str">
        <f t="shared" si="71"/>
        <v/>
      </c>
      <c r="G98" s="42" t="str">
        <f t="shared" si="71"/>
        <v/>
      </c>
      <c r="H98" s="42" t="str">
        <f t="shared" si="71"/>
        <v/>
      </c>
      <c r="I98" s="42" t="str">
        <f t="shared" si="71"/>
        <v/>
      </c>
      <c r="J98" s="42" t="str">
        <f t="shared" si="71"/>
        <v/>
      </c>
      <c r="K98" s="42" t="str">
        <f t="shared" si="71"/>
        <v/>
      </c>
      <c r="L98" s="42" t="str">
        <f t="shared" si="71"/>
        <v/>
      </c>
      <c r="M98" t="str">
        <f t="shared" si="71"/>
        <v/>
      </c>
      <c r="N98" s="138" t="s">
        <v>149</v>
      </c>
    </row>
    <row r="99" spans="1:14" x14ac:dyDescent="0.2">
      <c r="A99" s="1" t="str">
        <f>IF(A96="","","   Available Water [maf]")</f>
        <v xml:space="preserve">   Available Water [maf]</v>
      </c>
      <c r="C99" s="12" t="str">
        <f>IF(OR(C$28="",$A99=""),"",C39+C57-C49+C95)</f>
        <v/>
      </c>
      <c r="D99" s="12" t="str">
        <f t="shared" ref="D99:L99" si="72">IF(OR(D$28="",$A99=""),"",D39+D57-D49+D95)</f>
        <v/>
      </c>
      <c r="E99" s="12" t="str">
        <f t="shared" si="72"/>
        <v/>
      </c>
      <c r="F99" s="12" t="str">
        <f t="shared" ref="F99:G99" si="73">IF(OR(F$28="",$A99=""),"",F39+F57-F49+F95)</f>
        <v/>
      </c>
      <c r="G99" s="12" t="str">
        <f t="shared" si="73"/>
        <v/>
      </c>
      <c r="H99" s="114" t="str">
        <f t="shared" si="72"/>
        <v/>
      </c>
      <c r="I99" s="114" t="str">
        <f t="shared" si="72"/>
        <v/>
      </c>
      <c r="J99" s="114" t="str">
        <f t="shared" si="72"/>
        <v/>
      </c>
      <c r="K99" s="114" t="str">
        <f t="shared" si="72"/>
        <v/>
      </c>
      <c r="L99" s="114" t="str">
        <f t="shared" si="72"/>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4">IF(OR(D$28="",$A101=""),"",D99-D100)</f>
        <v/>
      </c>
      <c r="E101" s="12" t="str">
        <f t="shared" si="74"/>
        <v/>
      </c>
      <c r="F101" s="12" t="str">
        <f t="shared" ref="F101:G101" si="75">IF(OR(F$28="",$A101=""),"",F99-F100)</f>
        <v/>
      </c>
      <c r="G101" s="12" t="str">
        <f t="shared" si="75"/>
        <v/>
      </c>
      <c r="H101" s="12" t="str">
        <f t="shared" si="74"/>
        <v/>
      </c>
      <c r="I101" s="12" t="str">
        <f t="shared" si="74"/>
        <v/>
      </c>
      <c r="J101" s="12" t="str">
        <f t="shared" si="74"/>
        <v/>
      </c>
      <c r="K101" s="12" t="str">
        <f t="shared" si="74"/>
        <v/>
      </c>
      <c r="L101" s="12" t="str">
        <f t="shared" si="74"/>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s="446" t="s">
        <v>474</v>
      </c>
      <c r="C104" s="12" t="str">
        <f>IF(OR(C$28="",$A109=""),"",C40+C58-C50)</f>
        <v/>
      </c>
      <c r="D104" s="12" t="str">
        <f t="shared" ref="D104:G104" si="76">IF(OR(D$28="",$A109=""),"",D40+D58-D50)</f>
        <v/>
      </c>
      <c r="E104" s="12" t="str">
        <f t="shared" si="76"/>
        <v/>
      </c>
      <c r="F104" s="12" t="str">
        <f t="shared" si="76"/>
        <v/>
      </c>
      <c r="G104" s="12" t="str">
        <f t="shared" si="76"/>
        <v/>
      </c>
      <c r="H104" s="12" t="str">
        <f t="shared" ref="D104:L104" si="77">IF(OR(H$28="",$A104=""),"",H35+H53-H45+H100)</f>
        <v/>
      </c>
      <c r="I104" s="12" t="str">
        <f t="shared" si="77"/>
        <v/>
      </c>
      <c r="J104" s="12" t="str">
        <f t="shared" si="77"/>
        <v/>
      </c>
      <c r="K104" s="12" t="str">
        <f t="shared" si="77"/>
        <v/>
      </c>
      <c r="L104" s="12" t="str">
        <f t="shared" si="77"/>
        <v/>
      </c>
      <c r="N104" s="136"/>
    </row>
    <row r="105" spans="1:14" x14ac:dyDescent="0.2">
      <c r="A105" s="123" t="s">
        <v>462</v>
      </c>
      <c r="B105" s="237"/>
      <c r="C105" s="89"/>
      <c r="D105" s="89"/>
      <c r="E105" s="89"/>
      <c r="F105" s="89"/>
      <c r="G105" s="89"/>
      <c r="H105" s="331">
        <v>0</v>
      </c>
      <c r="I105" s="89"/>
      <c r="J105" s="89"/>
      <c r="K105" s="89"/>
      <c r="L105" s="89"/>
      <c r="M105" s="329">
        <f>SUM(C105:L105)</f>
        <v>0</v>
      </c>
      <c r="N105" s="141" t="s">
        <v>147</v>
      </c>
    </row>
    <row r="106" spans="1:14" x14ac:dyDescent="0.2">
      <c r="A106" s="123" t="s">
        <v>463</v>
      </c>
      <c r="B106" s="237"/>
      <c r="C106" s="90"/>
      <c r="D106" s="90"/>
      <c r="E106" s="90"/>
      <c r="F106" s="90"/>
      <c r="G106" s="90"/>
      <c r="H106" s="332"/>
      <c r="I106" s="90"/>
      <c r="J106" s="90"/>
      <c r="K106" s="90"/>
      <c r="L106" s="90"/>
      <c r="M106" s="326"/>
      <c r="N106" s="338" t="s">
        <v>467</v>
      </c>
    </row>
    <row r="107" spans="1:14" x14ac:dyDescent="0.2">
      <c r="A107" t="s">
        <v>464</v>
      </c>
      <c r="B107" s="237"/>
      <c r="C107" s="324" t="str">
        <f>IF(OR(C105="",C106=""),"",IF(C106&gt;0,ABS(C105*C106),C105*C106)
)</f>
        <v/>
      </c>
      <c r="D107" s="324" t="str">
        <f t="shared" ref="D107:G107" si="78">IF(OR(D105="",D106=""),"",IF(D106&gt;0,ABS(D105*D106),D105*D106)
)</f>
        <v/>
      </c>
      <c r="E107" s="324" t="str">
        <f t="shared" si="78"/>
        <v/>
      </c>
      <c r="F107" s="324" t="str">
        <f t="shared" si="78"/>
        <v/>
      </c>
      <c r="G107" s="324" t="str">
        <f t="shared" si="78"/>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79">IF(OR(C$28="",$A108=""),"",C$131)</f>
        <v/>
      </c>
      <c r="D108" s="42" t="str">
        <f>IF(OR(D$28="",$A108=""),"",D$131)</f>
        <v/>
      </c>
      <c r="E108" s="42" t="str">
        <f t="shared" si="79"/>
        <v/>
      </c>
      <c r="F108" s="42" t="str">
        <f t="shared" si="79"/>
        <v/>
      </c>
      <c r="G108" s="42" t="str">
        <f t="shared" si="79"/>
        <v/>
      </c>
      <c r="H108" s="42" t="str">
        <f t="shared" si="79"/>
        <v/>
      </c>
      <c r="I108" s="42" t="str">
        <f t="shared" si="79"/>
        <v/>
      </c>
      <c r="J108" s="42" t="str">
        <f t="shared" si="79"/>
        <v/>
      </c>
      <c r="K108" s="42" t="str">
        <f t="shared" si="79"/>
        <v/>
      </c>
      <c r="L108" s="42" t="str">
        <f t="shared" si="79"/>
        <v/>
      </c>
      <c r="M108" t="str">
        <f t="shared" si="79"/>
        <v/>
      </c>
      <c r="N108" s="138" t="s">
        <v>149</v>
      </c>
    </row>
    <row r="109" spans="1:14" x14ac:dyDescent="0.2">
      <c r="A109" s="1" t="str">
        <f>IF(A106="","","   Available Water [maf]")</f>
        <v xml:space="preserve">   Available Water [maf]</v>
      </c>
      <c r="C109" s="12" t="str">
        <f>IF(OR(C$28="",$A109=""),"",C40+C58-C50+C105)</f>
        <v/>
      </c>
      <c r="D109" s="12" t="str">
        <f t="shared" ref="D109:L109" si="80">IF(OR(D$28="",$A109=""),"",D40+D58-D50+D105)</f>
        <v/>
      </c>
      <c r="E109" s="12" t="str">
        <f t="shared" si="80"/>
        <v/>
      </c>
      <c r="F109" s="12" t="str">
        <f t="shared" ref="F109:G109" si="81">IF(OR(F$28="",$A109=""),"",F40+F58-F50+F105)</f>
        <v/>
      </c>
      <c r="G109" s="12" t="str">
        <f t="shared" si="81"/>
        <v/>
      </c>
      <c r="H109" s="12" t="str">
        <f t="shared" si="80"/>
        <v/>
      </c>
      <c r="I109" s="12" t="str">
        <f t="shared" si="80"/>
        <v/>
      </c>
      <c r="J109" s="12" t="str">
        <f t="shared" si="80"/>
        <v/>
      </c>
      <c r="K109" s="12" t="str">
        <f t="shared" si="80"/>
        <v/>
      </c>
      <c r="L109" s="12" t="str">
        <f t="shared" si="80"/>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2">IF(OR(D$28="",$A111=""),"",D109-D110)</f>
        <v/>
      </c>
      <c r="E111" s="12" t="str">
        <f t="shared" si="82"/>
        <v/>
      </c>
      <c r="F111" s="12" t="str">
        <f t="shared" ref="F111:G111" si="83">IF(OR(F$28="",$A111=""),"",F109-F110)</f>
        <v/>
      </c>
      <c r="G111" s="12" t="str">
        <f t="shared" si="83"/>
        <v/>
      </c>
      <c r="H111" s="12" t="str">
        <f t="shared" si="82"/>
        <v/>
      </c>
      <c r="I111" s="12" t="str">
        <f t="shared" si="82"/>
        <v/>
      </c>
      <c r="J111" s="12" t="str">
        <f t="shared" si="82"/>
        <v/>
      </c>
      <c r="K111" s="12" t="str">
        <f t="shared" si="82"/>
        <v/>
      </c>
      <c r="L111" s="12" t="str">
        <f t="shared" si="82"/>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s="446" t="s">
        <v>474</v>
      </c>
      <c r="C114" s="12" t="str">
        <f>IF(OR(C$28="",$A119=""),"",C41+C59-C51)</f>
        <v/>
      </c>
      <c r="D114" s="12" t="str">
        <f t="shared" ref="D114:G114" si="84">IF(OR(D$28="",$A119=""),"",D41+D59-D51)</f>
        <v/>
      </c>
      <c r="E114" s="12" t="str">
        <f t="shared" si="84"/>
        <v/>
      </c>
      <c r="F114" s="12" t="str">
        <f t="shared" si="84"/>
        <v/>
      </c>
      <c r="G114" s="12" t="str">
        <f t="shared" si="84"/>
        <v/>
      </c>
      <c r="H114" s="12" t="str">
        <f t="shared" ref="D114:L114" si="85">IF(OR(H$28="",$A114=""),"",H36+H54-H46+H110)</f>
        <v/>
      </c>
      <c r="I114" s="12" t="str">
        <f t="shared" si="85"/>
        <v/>
      </c>
      <c r="J114" s="12" t="str">
        <f t="shared" si="85"/>
        <v/>
      </c>
      <c r="K114" s="12" t="str">
        <f t="shared" si="85"/>
        <v/>
      </c>
      <c r="L114" s="12" t="str">
        <f t="shared" si="85"/>
        <v/>
      </c>
      <c r="N114" s="136"/>
    </row>
    <row r="115" spans="1:14" x14ac:dyDescent="0.2">
      <c r="A115" s="123" t="s">
        <v>462</v>
      </c>
      <c r="B115" s="237"/>
      <c r="C115" s="89"/>
      <c r="D115" s="89"/>
      <c r="E115" s="89"/>
      <c r="F115" s="89"/>
      <c r="G115" s="89"/>
      <c r="H115" s="331">
        <v>0</v>
      </c>
      <c r="I115" s="89"/>
      <c r="J115" s="89"/>
      <c r="K115" s="89"/>
      <c r="L115" s="89"/>
      <c r="M115" s="329">
        <f>SUM(C115:L115)</f>
        <v>0</v>
      </c>
      <c r="N115" s="141" t="s">
        <v>147</v>
      </c>
    </row>
    <row r="116" spans="1:14" x14ac:dyDescent="0.2">
      <c r="A116" s="123" t="s">
        <v>463</v>
      </c>
      <c r="B116" s="237"/>
      <c r="C116" s="90"/>
      <c r="D116" s="90"/>
      <c r="E116" s="90"/>
      <c r="F116" s="90"/>
      <c r="G116" s="90"/>
      <c r="H116" s="332"/>
      <c r="I116" s="90"/>
      <c r="J116" s="90"/>
      <c r="K116" s="90"/>
      <c r="L116" s="90"/>
      <c r="M116" s="326"/>
      <c r="N116" s="338" t="s">
        <v>467</v>
      </c>
    </row>
    <row r="117" spans="1:14" x14ac:dyDescent="0.2">
      <c r="A117" t="s">
        <v>464</v>
      </c>
      <c r="B117" s="237"/>
      <c r="C117" s="324" t="str">
        <f>IF(OR(C115="",C116=""),"",IF(C116&gt;0,ABS(C115*C116),C115*C116)
)</f>
        <v/>
      </c>
      <c r="D117" s="324" t="str">
        <f t="shared" ref="D117:G117" si="86">IF(OR(D115="",D116=""),"",IF(D116&gt;0,ABS(D115*D116),D115*D116)
)</f>
        <v/>
      </c>
      <c r="E117" s="324" t="str">
        <f t="shared" si="86"/>
        <v/>
      </c>
      <c r="F117" s="324" t="str">
        <f t="shared" si="86"/>
        <v/>
      </c>
      <c r="G117" s="324" t="str">
        <f t="shared" si="86"/>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7">IF(OR(D$28="",$A118=""),"",D$131)</f>
        <v/>
      </c>
      <c r="E118" s="42" t="str">
        <f t="shared" si="87"/>
        <v/>
      </c>
      <c r="F118" s="42" t="str">
        <f t="shared" si="87"/>
        <v/>
      </c>
      <c r="G118" s="42" t="str">
        <f t="shared" si="87"/>
        <v/>
      </c>
      <c r="H118" s="42" t="str">
        <f t="shared" si="87"/>
        <v/>
      </c>
      <c r="I118" s="42" t="str">
        <f t="shared" si="87"/>
        <v/>
      </c>
      <c r="J118" s="42" t="str">
        <f t="shared" si="87"/>
        <v/>
      </c>
      <c r="K118" s="42" t="str">
        <f t="shared" si="87"/>
        <v/>
      </c>
      <c r="L118" s="42" t="str">
        <f t="shared" si="87"/>
        <v/>
      </c>
      <c r="M118" t="str">
        <f t="shared" si="87"/>
        <v/>
      </c>
      <c r="N118" s="138" t="s">
        <v>149</v>
      </c>
    </row>
    <row r="119" spans="1:14" x14ac:dyDescent="0.2">
      <c r="A119" s="1" t="str">
        <f>IF(A116="","","   Available Water [maf]")</f>
        <v xml:space="preserve">   Available Water [maf]</v>
      </c>
      <c r="C119" s="12" t="str">
        <f>IF(OR(C$28="",$A119=""),"",C41+C59-C51+C115)</f>
        <v/>
      </c>
      <c r="D119" s="12" t="str">
        <f t="shared" ref="D119:L119" si="88">IF(OR(D$28="",$A119=""),"",D41+D59-D51+D115)</f>
        <v/>
      </c>
      <c r="E119" s="12" t="str">
        <f t="shared" si="88"/>
        <v/>
      </c>
      <c r="F119" s="12" t="str">
        <f t="shared" ref="F119:G119" si="89">IF(OR(F$28="",$A119=""),"",F41+F59-F51+F115)</f>
        <v/>
      </c>
      <c r="G119" s="12" t="str">
        <f t="shared" si="89"/>
        <v/>
      </c>
      <c r="H119" s="12" t="str">
        <f t="shared" si="88"/>
        <v/>
      </c>
      <c r="I119" s="12" t="str">
        <f t="shared" si="88"/>
        <v/>
      </c>
      <c r="J119" s="12" t="str">
        <f t="shared" si="88"/>
        <v/>
      </c>
      <c r="K119" s="12" t="str">
        <f t="shared" si="88"/>
        <v/>
      </c>
      <c r="L119" s="12" t="str">
        <f t="shared" si="88"/>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0">IF(OR(D$28="",$A121=""),"",D119-D120)</f>
        <v/>
      </c>
      <c r="E121" s="12" t="str">
        <f t="shared" si="90"/>
        <v/>
      </c>
      <c r="F121" s="12" t="str">
        <f t="shared" ref="F121:G121" si="91">IF(OR(F$28="",$A121=""),"",F119-F120)</f>
        <v/>
      </c>
      <c r="G121" s="12" t="str">
        <f t="shared" si="91"/>
        <v/>
      </c>
      <c r="H121" s="12" t="str">
        <f t="shared" si="90"/>
        <v/>
      </c>
      <c r="I121" s="12" t="str">
        <f t="shared" si="90"/>
        <v/>
      </c>
      <c r="J121" s="12" t="str">
        <f t="shared" si="90"/>
        <v/>
      </c>
      <c r="K121" s="12" t="str">
        <f t="shared" si="90"/>
        <v/>
      </c>
      <c r="L121" s="12" t="str">
        <f t="shared" si="90"/>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IF(A5="","","    "&amp;A5)</f>
        <v xml:space="preserve">    Reclamation - Protect Zone</v>
      </c>
      <c r="B125" s="1"/>
      <c r="C125" s="42" t="str">
        <f>IF(OR(C$28="",$A125=""),"",C65)</f>
        <v/>
      </c>
      <c r="D125" s="42" t="str">
        <f t="shared" ref="D125:G125" si="92">IF(OR(D$28="",$A125=""),"",D65)</f>
        <v/>
      </c>
      <c r="E125" s="42" t="str">
        <f t="shared" si="92"/>
        <v/>
      </c>
      <c r="F125" s="42" t="str">
        <f t="shared" si="92"/>
        <v/>
      </c>
      <c r="G125" s="42" t="str">
        <f t="shared" si="92"/>
        <v/>
      </c>
      <c r="H125" s="42" t="str">
        <f t="shared" ref="H125:L125" ca="1" si="93">IF(OR(H$28="",$A125=""),"",OFFSET(H$65,8*(ROW(G125)-ROW(G$125)),0))</f>
        <v/>
      </c>
      <c r="I125" s="42" t="str">
        <f t="shared" ca="1" si="93"/>
        <v/>
      </c>
      <c r="J125" s="42" t="str">
        <f t="shared" ca="1" si="93"/>
        <v/>
      </c>
      <c r="K125" s="42" t="str">
        <f t="shared" ca="1" si="93"/>
        <v/>
      </c>
      <c r="L125" s="132" t="str">
        <f t="shared" ca="1" si="93"/>
        <v/>
      </c>
      <c r="M125" s="133">
        <f ca="1">IF(OR($A125=""),"",SUM(C125:L125))</f>
        <v>0</v>
      </c>
      <c r="N125" s="143"/>
    </row>
    <row r="126" spans="1:14" x14ac:dyDescent="0.2">
      <c r="A126" t="str">
        <f>IF(A6="","","    "&amp;A6)</f>
        <v xml:space="preserve">    California</v>
      </c>
      <c r="B126" s="1"/>
      <c r="C126" s="42" t="str">
        <f>IF(OR(C$28="",$A126=""),"",C75)</f>
        <v/>
      </c>
      <c r="D126" s="42" t="str">
        <f t="shared" ref="D126:G126" si="94">IF(OR(D$28="",$A126=""),"",D75)</f>
        <v/>
      </c>
      <c r="E126" s="42" t="str">
        <f t="shared" si="94"/>
        <v/>
      </c>
      <c r="F126" s="42" t="str">
        <f t="shared" si="94"/>
        <v/>
      </c>
      <c r="G126" s="42" t="str">
        <f t="shared" si="94"/>
        <v/>
      </c>
      <c r="H126" s="42" t="str">
        <f t="shared" ref="H126:L126" ca="1" si="95">IF(OR(H$28="",$A126=""),"",OFFSET(H$65,8*(ROW(G126)-ROW(G$125)),0))</f>
        <v/>
      </c>
      <c r="I126" s="42" t="str">
        <f t="shared" ca="1" si="95"/>
        <v/>
      </c>
      <c r="J126" s="42" t="str">
        <f t="shared" ca="1" si="95"/>
        <v/>
      </c>
      <c r="K126" s="42" t="str">
        <f t="shared" ca="1" si="95"/>
        <v/>
      </c>
      <c r="L126" s="132" t="str">
        <f t="shared" ca="1" si="95"/>
        <v/>
      </c>
      <c r="M126" s="133">
        <f t="shared" ref="M126:M130" ca="1" si="96">IF(OR($A126=""),"",SUM(C126:L126))</f>
        <v>0</v>
      </c>
      <c r="N126" s="143"/>
    </row>
    <row r="127" spans="1:14" x14ac:dyDescent="0.2">
      <c r="A127" t="str">
        <f>IF(A7="","","    "&amp;A7)</f>
        <v xml:space="preserve">    Arizona</v>
      </c>
      <c r="B127" s="1"/>
      <c r="C127" s="42" t="str">
        <f>IF(OR(C$28="",$A127=""),"",C85)</f>
        <v/>
      </c>
      <c r="D127" s="42" t="str">
        <f t="shared" ref="D127:G127" si="97">IF(OR(D$28="",$A127=""),"",D85)</f>
        <v/>
      </c>
      <c r="E127" s="42" t="str">
        <f t="shared" si="97"/>
        <v/>
      </c>
      <c r="F127" s="42" t="str">
        <f t="shared" si="97"/>
        <v/>
      </c>
      <c r="G127" s="42" t="str">
        <f t="shared" si="97"/>
        <v/>
      </c>
      <c r="H127" s="42" t="str">
        <f t="shared" ref="H127:L127" ca="1" si="98">IF(OR(H$28="",$A127=""),"",OFFSET(H$65,8*(ROW(G127)-ROW(G$125)),0))</f>
        <v/>
      </c>
      <c r="I127" s="42" t="str">
        <f t="shared" ca="1" si="98"/>
        <v/>
      </c>
      <c r="J127" s="42" t="str">
        <f t="shared" ca="1" si="98"/>
        <v/>
      </c>
      <c r="K127" s="42" t="str">
        <f t="shared" ca="1" si="98"/>
        <v/>
      </c>
      <c r="L127" s="132" t="str">
        <f t="shared" ca="1" si="98"/>
        <v/>
      </c>
      <c r="M127" s="133">
        <f t="shared" ca="1" si="96"/>
        <v>0</v>
      </c>
      <c r="N127" s="143"/>
    </row>
    <row r="128" spans="1:14" x14ac:dyDescent="0.2">
      <c r="A128" t="str">
        <f>IF(A8="","","    "&amp;A8)</f>
        <v xml:space="preserve">    Nevada</v>
      </c>
      <c r="B128" s="1"/>
      <c r="C128" s="42" t="str">
        <f>IF(OR(C$28="",$A128=""),"",C95)</f>
        <v/>
      </c>
      <c r="D128" s="42" t="str">
        <f t="shared" ref="D128:G128" si="99">IF(OR(D$28="",$A128=""),"",D95)</f>
        <v/>
      </c>
      <c r="E128" s="42" t="str">
        <f t="shared" si="99"/>
        <v/>
      </c>
      <c r="F128" s="42" t="str">
        <f t="shared" si="99"/>
        <v/>
      </c>
      <c r="G128" s="42" t="str">
        <f t="shared" si="99"/>
        <v/>
      </c>
      <c r="H128" s="42" t="str">
        <f t="shared" ref="H128:L128" ca="1" si="100">IF(OR(H$28="",$A128=""),"",OFFSET(H$65,8*(ROW(G128)-ROW(G$125)),0))</f>
        <v/>
      </c>
      <c r="I128" s="42" t="str">
        <f t="shared" ca="1" si="100"/>
        <v/>
      </c>
      <c r="J128" s="42" t="str">
        <f t="shared" ca="1" si="100"/>
        <v/>
      </c>
      <c r="K128" s="42" t="str">
        <f t="shared" ca="1" si="100"/>
        <v/>
      </c>
      <c r="L128" s="132" t="str">
        <f t="shared" ca="1" si="100"/>
        <v/>
      </c>
      <c r="M128" s="133">
        <f t="shared" ca="1" si="96"/>
        <v>0</v>
      </c>
      <c r="N128" s="143"/>
    </row>
    <row r="129" spans="1:14" x14ac:dyDescent="0.2">
      <c r="A129" t="str">
        <f>IF(A9="","","    "&amp;A9)</f>
        <v xml:space="preserve">    Mexico</v>
      </c>
      <c r="B129" s="1"/>
      <c r="C129" s="42" t="str">
        <f>IF(OR(C$28="",$A129=""),"",C105)</f>
        <v/>
      </c>
      <c r="D129" s="42" t="str">
        <f t="shared" ref="D129:G129" si="101">IF(OR(D$28="",$A129=""),"",D105)</f>
        <v/>
      </c>
      <c r="E129" s="42" t="str">
        <f t="shared" si="101"/>
        <v/>
      </c>
      <c r="F129" s="42" t="str">
        <f t="shared" si="101"/>
        <v/>
      </c>
      <c r="G129" s="42" t="str">
        <f t="shared" si="101"/>
        <v/>
      </c>
      <c r="H129" s="42" t="str">
        <f t="shared" ref="H129:L129" ca="1" si="102">IF(OR(H$28="",$A129=""),"",OFFSET(H$65,8*(ROW(G129)-ROW(G$125)),0))</f>
        <v/>
      </c>
      <c r="I129" s="42" t="str">
        <f t="shared" ca="1" si="102"/>
        <v/>
      </c>
      <c r="J129" s="42" t="str">
        <f t="shared" ca="1" si="102"/>
        <v/>
      </c>
      <c r="K129" s="42" t="str">
        <f t="shared" ca="1" si="102"/>
        <v/>
      </c>
      <c r="L129" s="132" t="str">
        <f t="shared" ca="1" si="102"/>
        <v/>
      </c>
      <c r="M129" s="133">
        <f t="shared" ca="1" si="96"/>
        <v>0</v>
      </c>
      <c r="N129" s="143"/>
    </row>
    <row r="130" spans="1:14" x14ac:dyDescent="0.2">
      <c r="A130" t="str">
        <f>IF(A10="","","    "&amp;A10)</f>
        <v xml:space="preserve">    Tribal Nations of the Lower Basin</v>
      </c>
      <c r="B130" s="1"/>
      <c r="C130" s="42" t="str">
        <f>IF(OR(C$28="",$A130=""),"",C115)</f>
        <v/>
      </c>
      <c r="D130" s="42" t="str">
        <f t="shared" ref="D130:G130" si="103">IF(OR(D$28="",$A130=""),"",D115)</f>
        <v/>
      </c>
      <c r="E130" s="42" t="str">
        <f t="shared" si="103"/>
        <v/>
      </c>
      <c r="F130" s="42" t="str">
        <f t="shared" si="103"/>
        <v/>
      </c>
      <c r="G130" s="42" t="str">
        <f t="shared" si="103"/>
        <v/>
      </c>
      <c r="H130" s="42" t="str">
        <f t="shared" ref="H130:L130" ca="1" si="104">IF(OR(H$28="",$A130=""),"",OFFSET(H$65,8*(ROW(G130)-ROW(G$125)),0))</f>
        <v/>
      </c>
      <c r="I130" s="42" t="str">
        <f t="shared" ca="1" si="104"/>
        <v/>
      </c>
      <c r="J130" s="42" t="str">
        <f t="shared" ca="1" si="104"/>
        <v/>
      </c>
      <c r="K130" s="42" t="str">
        <f t="shared" ca="1" si="104"/>
        <v/>
      </c>
      <c r="L130" s="132" t="str">
        <f t="shared" ca="1" si="104"/>
        <v/>
      </c>
      <c r="M130" s="133">
        <f t="shared" ca="1" si="96"/>
        <v>0</v>
      </c>
      <c r="N130" s="143"/>
    </row>
    <row r="131" spans="1:14" x14ac:dyDescent="0.2">
      <c r="A131" t="s">
        <v>38</v>
      </c>
      <c r="B131" s="1"/>
      <c r="C131" s="12" t="str">
        <f>IF(C$28&lt;&gt;"",SUM(C125:C130),"")</f>
        <v/>
      </c>
      <c r="D131" s="12" t="str">
        <f t="shared" ref="D131:G131" si="105">IF(D$28&lt;&gt;"",SUM(D125:D130),"")</f>
        <v/>
      </c>
      <c r="E131" s="12" t="str">
        <f t="shared" si="105"/>
        <v/>
      </c>
      <c r="F131" s="12" t="str">
        <f t="shared" si="105"/>
        <v/>
      </c>
      <c r="G131" s="12" t="str">
        <f t="shared" si="105"/>
        <v/>
      </c>
      <c r="H131" s="31" t="str">
        <f t="shared" ref="H131:L131" si="106">IF(H$28&lt;&gt;"",SUM(H125:H130),"")</f>
        <v/>
      </c>
      <c r="I131" s="31" t="str">
        <f t="shared" si="106"/>
        <v/>
      </c>
      <c r="J131" s="31" t="str">
        <f t="shared" si="106"/>
        <v/>
      </c>
      <c r="K131" s="31" t="str">
        <f t="shared" si="106"/>
        <v/>
      </c>
      <c r="L131" s="31" t="str">
        <f t="shared" si="106"/>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07">IF(OR(D$28="",$A133=""),"",D70)</f>
        <v/>
      </c>
      <c r="E133" s="42" t="str">
        <f t="shared" si="107"/>
        <v/>
      </c>
      <c r="F133" s="42" t="str">
        <f t="shared" si="107"/>
        <v/>
      </c>
      <c r="G133" s="42" t="str">
        <f t="shared" si="107"/>
        <v/>
      </c>
      <c r="H133" s="42" t="str">
        <f t="shared" ref="H133:L133" ca="1" si="108">IF(OR(H$28="",$A133=""),"",OFFSET(H$70,8*(ROW(G133)-ROW(G$133)),0))</f>
        <v/>
      </c>
      <c r="I133" s="42" t="str">
        <f t="shared" ca="1" si="108"/>
        <v/>
      </c>
      <c r="J133" s="42" t="str">
        <f t="shared" ca="1" si="108"/>
        <v/>
      </c>
      <c r="K133" s="42" t="str">
        <f t="shared" ca="1" si="108"/>
        <v/>
      </c>
      <c r="L133" s="42" t="str">
        <f t="shared" ca="1" si="108"/>
        <v/>
      </c>
      <c r="N133" s="139"/>
    </row>
    <row r="134" spans="1:14" x14ac:dyDescent="0.2">
      <c r="A134" t="str">
        <f>IF(A6="","","    "&amp;A6&amp;" - Release from Mead")</f>
        <v xml:space="preserve">    California - Release from Mead</v>
      </c>
      <c r="C134" s="42" t="str">
        <f>IF(OR(C$28="",$A134=""),"",C80)</f>
        <v/>
      </c>
      <c r="D134" s="42" t="str">
        <f t="shared" ref="D134:G134" si="109">IF(OR(D$28="",$A134=""),"",D80)</f>
        <v/>
      </c>
      <c r="E134" s="42" t="str">
        <f t="shared" si="109"/>
        <v/>
      </c>
      <c r="F134" s="42" t="str">
        <f t="shared" si="109"/>
        <v/>
      </c>
      <c r="G134" s="42" t="str">
        <f t="shared" si="109"/>
        <v/>
      </c>
      <c r="H134" s="42" t="str">
        <f t="shared" ref="H134:L134" ca="1" si="110">IF(OR(H$28="",$A134=""),"",OFFSET(H$70,8*(ROW(G134)-ROW(G$133)),0))</f>
        <v/>
      </c>
      <c r="I134" s="42" t="str">
        <f t="shared" ca="1" si="110"/>
        <v/>
      </c>
      <c r="J134" s="42" t="str">
        <f t="shared" ca="1" si="110"/>
        <v/>
      </c>
      <c r="K134" s="42" t="str">
        <f t="shared" ca="1" si="110"/>
        <v/>
      </c>
      <c r="L134" s="42" t="str">
        <f t="shared" ca="1" si="110"/>
        <v/>
      </c>
      <c r="N134" s="139"/>
    </row>
    <row r="135" spans="1:14" x14ac:dyDescent="0.2">
      <c r="A135" t="str">
        <f>IF(A7="","","    "&amp;A7&amp;" - Release from Mead")</f>
        <v xml:space="preserve">    Arizona - Release from Mead</v>
      </c>
      <c r="C135" s="42" t="str">
        <f>IF(OR(C$28="",$A135=""),"",C90)</f>
        <v/>
      </c>
      <c r="D135" s="42" t="str">
        <f t="shared" ref="D135:G135" si="111">IF(OR(D$28="",$A135=""),"",D90)</f>
        <v/>
      </c>
      <c r="E135" s="42" t="str">
        <f t="shared" si="111"/>
        <v/>
      </c>
      <c r="F135" s="42" t="str">
        <f t="shared" si="111"/>
        <v/>
      </c>
      <c r="G135" s="42" t="str">
        <f t="shared" si="111"/>
        <v/>
      </c>
      <c r="H135" s="42" t="str">
        <f t="shared" ref="H135:L135" ca="1" si="112">IF(OR(H$28="",$A135=""),"",OFFSET(H$70,8*(ROW(G135)-ROW(G$133)),0))</f>
        <v/>
      </c>
      <c r="I135" s="42" t="str">
        <f t="shared" ca="1" si="112"/>
        <v/>
      </c>
      <c r="J135" s="42" t="str">
        <f t="shared" ca="1" si="112"/>
        <v/>
      </c>
      <c r="K135" s="42" t="str">
        <f t="shared" ca="1" si="112"/>
        <v/>
      </c>
      <c r="L135" s="42" t="str">
        <f t="shared" ca="1" si="112"/>
        <v/>
      </c>
      <c r="N135" s="139"/>
    </row>
    <row r="136" spans="1:14" x14ac:dyDescent="0.2">
      <c r="A136" t="str">
        <f>IF(A8="","","    "&amp;A8&amp;" - Release from Mead")</f>
        <v xml:space="preserve">    Nevada - Release from Mead</v>
      </c>
      <c r="C136" s="42" t="str">
        <f>IF(OR(C$28="",$A136=""),"",C100)</f>
        <v/>
      </c>
      <c r="D136" s="42" t="str">
        <f t="shared" ref="D136:G136" si="113">IF(OR(D$28="",$A136=""),"",D100)</f>
        <v/>
      </c>
      <c r="E136" s="42" t="str">
        <f t="shared" si="113"/>
        <v/>
      </c>
      <c r="F136" s="42" t="str">
        <f t="shared" si="113"/>
        <v/>
      </c>
      <c r="G136" s="42" t="str">
        <f t="shared" si="113"/>
        <v/>
      </c>
      <c r="H136" s="42" t="str">
        <f t="shared" ref="H136:L136" ca="1" si="114">IF(OR(H$28="",$A136=""),"",OFFSET(H$70,8*(ROW(G136)-ROW(G$133)),0))</f>
        <v/>
      </c>
      <c r="I136" s="42" t="str">
        <f t="shared" ca="1" si="114"/>
        <v/>
      </c>
      <c r="J136" s="42" t="str">
        <f t="shared" ca="1" si="114"/>
        <v/>
      </c>
      <c r="K136" s="42" t="str">
        <f t="shared" ca="1" si="114"/>
        <v/>
      </c>
      <c r="L136" s="42" t="str">
        <f t="shared" ca="1" si="114"/>
        <v/>
      </c>
      <c r="N136" s="139"/>
    </row>
    <row r="137" spans="1:14" x14ac:dyDescent="0.2">
      <c r="A137" t="str">
        <f>IF(A9="","","    "&amp;A9&amp;" - Release from Mead")</f>
        <v xml:space="preserve">    Mexico - Release from Mead</v>
      </c>
      <c r="C137" s="42" t="str">
        <f>IF(OR(C$28="",$A137=""),"",C110)</f>
        <v/>
      </c>
      <c r="D137" s="42" t="str">
        <f t="shared" ref="D137:G137" si="115">IF(OR(D$28="",$A137=""),"",D110)</f>
        <v/>
      </c>
      <c r="E137" s="42" t="str">
        <f t="shared" si="115"/>
        <v/>
      </c>
      <c r="F137" s="42" t="str">
        <f t="shared" si="115"/>
        <v/>
      </c>
      <c r="G137" s="42" t="str">
        <f t="shared" si="115"/>
        <v/>
      </c>
      <c r="H137" s="42" t="str">
        <f t="shared" ref="H137:L137" ca="1" si="116">IF(OR(H$28="",$A137=""),"",OFFSET(H$70,8*(ROW(G137)-ROW(G$133)),0))</f>
        <v/>
      </c>
      <c r="I137" s="42" t="str">
        <f t="shared" ca="1" si="116"/>
        <v/>
      </c>
      <c r="J137" s="42" t="str">
        <f t="shared" ca="1" si="116"/>
        <v/>
      </c>
      <c r="K137" s="42" t="str">
        <f t="shared" ca="1" si="116"/>
        <v/>
      </c>
      <c r="L137" s="42" t="str">
        <f t="shared" ca="1" si="116"/>
        <v/>
      </c>
      <c r="N137" s="139"/>
    </row>
    <row r="138" spans="1:14" x14ac:dyDescent="0.2">
      <c r="A138" t="str">
        <f>IF(A10="","","    "&amp;A10&amp;" - Release from Mead")</f>
        <v xml:space="preserve">    Tribal Nations of the Lower Basin - Release from Mead</v>
      </c>
      <c r="C138" s="42" t="str">
        <f>IF(OR(C$28="",$A138=""),"",C120)</f>
        <v/>
      </c>
      <c r="D138" s="42" t="str">
        <f t="shared" ref="D138:G138" si="117">IF(OR(D$28="",$A138=""),"",D120)</f>
        <v/>
      </c>
      <c r="E138" s="42" t="str">
        <f t="shared" si="117"/>
        <v/>
      </c>
      <c r="F138" s="42" t="str">
        <f t="shared" si="117"/>
        <v/>
      </c>
      <c r="G138" s="42" t="str">
        <f t="shared" si="117"/>
        <v/>
      </c>
      <c r="H138" s="42" t="str">
        <f t="shared" ref="H138:L138" ca="1" si="118">IF(OR(H$28="",$A138=""),"",OFFSET(H$70,8*(ROW(G138)-ROW(G$133)),0))</f>
        <v/>
      </c>
      <c r="I138" s="42" t="str">
        <f t="shared" ca="1" si="118"/>
        <v/>
      </c>
      <c r="J138" s="42" t="str">
        <f t="shared" ca="1" si="118"/>
        <v/>
      </c>
      <c r="K138" s="42" t="str">
        <f t="shared" ca="1" si="118"/>
        <v/>
      </c>
      <c r="L138" s="42" t="str">
        <f t="shared" ca="1" si="118"/>
        <v/>
      </c>
      <c r="N138" s="139"/>
    </row>
    <row r="139" spans="1:14" x14ac:dyDescent="0.2">
      <c r="A139" s="1" t="s">
        <v>252</v>
      </c>
      <c r="B139" s="1"/>
      <c r="C139" s="17"/>
      <c r="D139" s="2"/>
      <c r="E139" s="2"/>
      <c r="F139" s="2"/>
      <c r="G139" s="2"/>
      <c r="H139" s="2"/>
      <c r="I139" s="2"/>
      <c r="J139" s="2"/>
      <c r="K139" s="2"/>
      <c r="L139" s="2"/>
      <c r="N139" s="139"/>
    </row>
    <row r="140" spans="1:14" x14ac:dyDescent="0.2">
      <c r="A140" t="str">
        <f>IF(A5="","","    "&amp;A5)</f>
        <v xml:space="preserve">    Reclamation - Protect Zone</v>
      </c>
      <c r="C140" s="42" t="str">
        <f>IF(OR(C$28="",$A140=""),"",C71)</f>
        <v/>
      </c>
      <c r="D140" s="42" t="str">
        <f t="shared" ref="D140:G140" si="119">IF(OR(D$28="",$A140=""),"",D71)</f>
        <v/>
      </c>
      <c r="E140" s="42" t="str">
        <f t="shared" si="119"/>
        <v/>
      </c>
      <c r="F140" s="42" t="str">
        <f t="shared" si="119"/>
        <v/>
      </c>
      <c r="G140" s="42" t="str">
        <f t="shared" si="119"/>
        <v/>
      </c>
      <c r="H140" s="42" t="str">
        <f t="shared" ref="H140:L140" ca="1" si="120">IF(OR(H$28="",$A140=""),"",OFFSET(H$71,8*(ROW(G140)-ROW(G$140)),0))</f>
        <v/>
      </c>
      <c r="I140" s="42" t="str">
        <f t="shared" ca="1" si="120"/>
        <v/>
      </c>
      <c r="J140" s="42" t="str">
        <f t="shared" ca="1" si="120"/>
        <v/>
      </c>
      <c r="K140" s="42" t="str">
        <f t="shared" ca="1" si="120"/>
        <v/>
      </c>
      <c r="L140" s="42" t="str">
        <f t="shared" ca="1" si="120"/>
        <v/>
      </c>
      <c r="N140" s="139"/>
    </row>
    <row r="141" spans="1:14" x14ac:dyDescent="0.2">
      <c r="A141" t="str">
        <f>IF(A6="","","    "&amp;A6)</f>
        <v xml:space="preserve">    California</v>
      </c>
      <c r="C141" s="42" t="str">
        <f>IF(OR(C$28="",$A141=""),"",C81)</f>
        <v/>
      </c>
      <c r="D141" s="42" t="str">
        <f t="shared" ref="D141:G141" si="121">IF(OR(D$28="",$A141=""),"",D81)</f>
        <v/>
      </c>
      <c r="E141" s="42" t="str">
        <f t="shared" si="121"/>
        <v/>
      </c>
      <c r="F141" s="42" t="str">
        <f t="shared" si="121"/>
        <v/>
      </c>
      <c r="G141" s="42" t="str">
        <f t="shared" si="121"/>
        <v/>
      </c>
      <c r="H141" s="42" t="str">
        <f t="shared" ref="H141:L141" ca="1" si="122">IF(OR(H$28="",$A141=""),"",OFFSET(H$71,8*(ROW(G141)-ROW(G$140)),0))</f>
        <v/>
      </c>
      <c r="I141" s="42" t="str">
        <f t="shared" ca="1" si="122"/>
        <v/>
      </c>
      <c r="J141" s="42" t="str">
        <f t="shared" ca="1" si="122"/>
        <v/>
      </c>
      <c r="K141" s="42" t="str">
        <f t="shared" ca="1" si="122"/>
        <v/>
      </c>
      <c r="L141" s="42" t="str">
        <f t="shared" ca="1" si="122"/>
        <v/>
      </c>
      <c r="N141" s="139"/>
    </row>
    <row r="142" spans="1:14" x14ac:dyDescent="0.2">
      <c r="A142" t="str">
        <f>IF(A7="","","    "&amp;A7)</f>
        <v xml:space="preserve">    Arizona</v>
      </c>
      <c r="C142" s="42" t="str">
        <f>IF(OR(C$28="",$A142=""),"",C91)</f>
        <v/>
      </c>
      <c r="D142" s="42" t="str">
        <f t="shared" ref="D142:G142" si="123">IF(OR(D$28="",$A142=""),"",D91)</f>
        <v/>
      </c>
      <c r="E142" s="42" t="str">
        <f t="shared" si="123"/>
        <v/>
      </c>
      <c r="F142" s="42" t="str">
        <f t="shared" si="123"/>
        <v/>
      </c>
      <c r="G142" s="42" t="str">
        <f t="shared" si="123"/>
        <v/>
      </c>
      <c r="H142" s="42" t="str">
        <f t="shared" ref="H142:L142" ca="1" si="124">IF(OR(H$28="",$A142=""),"",OFFSET(H$71,8*(ROW(G142)-ROW(G$140)),0))</f>
        <v/>
      </c>
      <c r="I142" s="42" t="str">
        <f t="shared" ca="1" si="124"/>
        <v/>
      </c>
      <c r="J142" s="42" t="str">
        <f t="shared" ca="1" si="124"/>
        <v/>
      </c>
      <c r="K142" s="42" t="str">
        <f t="shared" ca="1" si="124"/>
        <v/>
      </c>
      <c r="L142" s="42" t="str">
        <f t="shared" ca="1" si="124"/>
        <v/>
      </c>
      <c r="N142" s="139"/>
    </row>
    <row r="143" spans="1:14" x14ac:dyDescent="0.2">
      <c r="A143" t="str">
        <f>IF(A8="","","    "&amp;A8)</f>
        <v xml:space="preserve">    Nevada</v>
      </c>
      <c r="C143" s="42" t="str">
        <f>IF(OR(C$28="",$A143=""),"",C101)</f>
        <v/>
      </c>
      <c r="D143" s="42" t="str">
        <f t="shared" ref="D143:G143" si="125">IF(OR(D$28="",$A143=""),"",D101)</f>
        <v/>
      </c>
      <c r="E143" s="42" t="str">
        <f t="shared" si="125"/>
        <v/>
      </c>
      <c r="F143" s="42" t="str">
        <f t="shared" si="125"/>
        <v/>
      </c>
      <c r="G143" s="42" t="str">
        <f t="shared" si="125"/>
        <v/>
      </c>
      <c r="H143" s="42" t="str">
        <f t="shared" ref="H143:L143" ca="1" si="126">IF(OR(H$28="",$A143=""),"",OFFSET(H$71,8*(ROW(G143)-ROW(G$140)),0))</f>
        <v/>
      </c>
      <c r="I143" s="42" t="str">
        <f t="shared" ca="1" si="126"/>
        <v/>
      </c>
      <c r="J143" s="42" t="str">
        <f t="shared" ca="1" si="126"/>
        <v/>
      </c>
      <c r="K143" s="42" t="str">
        <f t="shared" ca="1" si="126"/>
        <v/>
      </c>
      <c r="L143" s="42" t="str">
        <f t="shared" ca="1" si="126"/>
        <v/>
      </c>
      <c r="N143" s="139"/>
    </row>
    <row r="144" spans="1:14" x14ac:dyDescent="0.2">
      <c r="A144" t="str">
        <f>IF(A9="","","    "&amp;A9)</f>
        <v xml:space="preserve">    Mexico</v>
      </c>
      <c r="C144" s="42" t="str">
        <f>IF(OR(C$28="",$A144=""),"",C111)</f>
        <v/>
      </c>
      <c r="D144" s="42" t="str">
        <f t="shared" ref="D144:G144" si="127">IF(OR(D$28="",$A144=""),"",D111)</f>
        <v/>
      </c>
      <c r="E144" s="42" t="str">
        <f t="shared" si="127"/>
        <v/>
      </c>
      <c r="F144" s="42" t="str">
        <f t="shared" si="127"/>
        <v/>
      </c>
      <c r="G144" s="42" t="str">
        <f t="shared" si="127"/>
        <v/>
      </c>
      <c r="H144" s="42" t="str">
        <f t="shared" ref="H144:L144" ca="1" si="128">IF(OR(H$28="",$A144=""),"",OFFSET(H$71,8*(ROW(G144)-ROW(G$140)),0))</f>
        <v/>
      </c>
      <c r="I144" s="42" t="str">
        <f t="shared" ca="1" si="128"/>
        <v/>
      </c>
      <c r="J144" s="42" t="str">
        <f t="shared" ca="1" si="128"/>
        <v/>
      </c>
      <c r="K144" s="42" t="str">
        <f t="shared" ca="1" si="128"/>
        <v/>
      </c>
      <c r="L144" s="42" t="str">
        <f t="shared" ca="1" si="128"/>
        <v/>
      </c>
      <c r="N144" s="139"/>
    </row>
    <row r="145" spans="1:14" x14ac:dyDescent="0.2">
      <c r="A145" t="str">
        <f>IF(A10="","","    "&amp;A10)</f>
        <v xml:space="preserve">    Tribal Nations of the Lower Basin</v>
      </c>
      <c r="C145" s="42" t="str">
        <f>IF(OR(C$28="",$A145=""),"",C121)</f>
        <v/>
      </c>
      <c r="D145" s="42" t="str">
        <f t="shared" ref="D145:G145" si="129">IF(OR(D$28="",$A145=""),"",D121)</f>
        <v/>
      </c>
      <c r="E145" s="42" t="str">
        <f t="shared" si="129"/>
        <v/>
      </c>
      <c r="F145" s="42" t="str">
        <f t="shared" si="129"/>
        <v/>
      </c>
      <c r="G145" s="42" t="str">
        <f t="shared" si="129"/>
        <v/>
      </c>
      <c r="H145" s="42" t="str">
        <f t="shared" ref="H145:L145" ca="1" si="130">IF(OR(H$28="",$A145=""),"",OFFSET(H$71,8*(ROW(G145)-ROW(G$140)),0))</f>
        <v/>
      </c>
      <c r="I145" s="42" t="str">
        <f t="shared" ca="1" si="130"/>
        <v/>
      </c>
      <c r="J145" s="42" t="str">
        <f t="shared" ca="1" si="130"/>
        <v/>
      </c>
      <c r="K145" s="42" t="str">
        <f t="shared" ca="1" si="130"/>
        <v/>
      </c>
      <c r="L145" s="42" t="str">
        <f t="shared" ca="1" si="130"/>
        <v/>
      </c>
      <c r="N145" s="139"/>
    </row>
    <row r="146" spans="1:14" x14ac:dyDescent="0.2">
      <c r="A146" s="1" t="s">
        <v>247</v>
      </c>
      <c r="C146" s="17"/>
      <c r="H146" s="12" t="str">
        <f t="shared" ref="H146:L146" si="131">IF(H$28&lt;&gt;"",SUM(H140:H145),"")</f>
        <v/>
      </c>
      <c r="I146" s="12" t="str">
        <f t="shared" si="131"/>
        <v/>
      </c>
      <c r="J146" s="12" t="str">
        <f t="shared" si="131"/>
        <v/>
      </c>
      <c r="K146" s="12" t="str">
        <f t="shared" si="131"/>
        <v/>
      </c>
      <c r="L146" s="12" t="str">
        <f t="shared" si="131"/>
        <v/>
      </c>
      <c r="N146" s="138" t="s">
        <v>294</v>
      </c>
    </row>
    <row r="147" spans="1:14" x14ac:dyDescent="0.2">
      <c r="A147" t="s">
        <v>248</v>
      </c>
      <c r="B147" s="1"/>
      <c r="C147" s="12" t="str">
        <f>IF(C$28&lt;&gt;"",SUM(C140:C145),"")</f>
        <v/>
      </c>
      <c r="D147" s="12" t="str">
        <f>IF(D$28&lt;&gt;"",SUM(D140:D145),"")</f>
        <v/>
      </c>
      <c r="E147" s="12" t="str">
        <f t="shared" ref="E147:G147" si="132">IF(E$28&lt;&gt;"",SUM(E140:E145),"")</f>
        <v/>
      </c>
      <c r="F147" s="12" t="str">
        <f t="shared" si="132"/>
        <v/>
      </c>
      <c r="G147" s="12" t="str">
        <f t="shared" si="132"/>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70:G70">
    <cfRule type="cellIs" dxfId="58" priority="41" operator="greaterThan">
      <formula>$C$69</formula>
    </cfRule>
  </conditionalFormatting>
  <conditionalFormatting sqref="C80">
    <cfRule type="cellIs" dxfId="57" priority="100" operator="greaterThan">
      <formula>$C$79</formula>
    </cfRule>
  </conditionalFormatting>
  <conditionalFormatting sqref="C90:G90">
    <cfRule type="cellIs" dxfId="56" priority="90" operator="greaterThan">
      <formula>$C$89</formula>
    </cfRule>
  </conditionalFormatting>
  <conditionalFormatting sqref="D80">
    <cfRule type="cellIs" dxfId="51" priority="31" operator="greaterThan">
      <formula>$D$79</formula>
    </cfRule>
  </conditionalFormatting>
  <conditionalFormatting sqref="E80">
    <cfRule type="cellIs" dxfId="42" priority="22" operator="greaterThan">
      <formula>$E$79</formula>
    </cfRule>
  </conditionalFormatting>
  <conditionalFormatting sqref="F80">
    <cfRule type="cellIs" dxfId="38" priority="18" operator="greaterThan">
      <formula>$F$79</formula>
    </cfRule>
  </conditionalFormatting>
  <conditionalFormatting sqref="G80">
    <cfRule type="cellIs" dxfId="35" priority="12" operator="greaterThan">
      <formula>$G$79</formula>
    </cfRule>
  </conditionalFormatting>
  <conditionalFormatting sqref="H70">
    <cfRule type="cellIs" dxfId="32" priority="187" operator="greaterThan">
      <formula>$H$69</formula>
    </cfRule>
  </conditionalFormatting>
  <conditionalFormatting sqref="H80">
    <cfRule type="cellIs" dxfId="31" priority="170" operator="greaterThan">
      <formula>$H$79</formula>
    </cfRule>
  </conditionalFormatting>
  <conditionalFormatting sqref="H90">
    <cfRule type="cellIs" dxfId="30" priority="160" operator="greaterThan">
      <formula>$H$89</formula>
    </cfRule>
  </conditionalFormatting>
  <conditionalFormatting sqref="H110">
    <cfRule type="cellIs" dxfId="29" priority="149" operator="greaterThan">
      <formula>$H$109</formula>
    </cfRule>
  </conditionalFormatting>
  <conditionalFormatting sqref="H120">
    <cfRule type="cellIs" dxfId="28" priority="139" operator="greaterThan">
      <formula>$H$119</formula>
    </cfRule>
  </conditionalFormatting>
  <conditionalFormatting sqref="H100:L100">
    <cfRule type="cellIs" dxfId="27" priority="155" operator="greaterThan">
      <formula>$C$99</formula>
    </cfRule>
  </conditionalFormatting>
  <conditionalFormatting sqref="I70">
    <cfRule type="cellIs" dxfId="26" priority="186" operator="greaterThan">
      <formula>$I$69</formula>
    </cfRule>
  </conditionalFormatting>
  <conditionalFormatting sqref="I80">
    <cfRule type="cellIs" dxfId="25" priority="169" operator="greaterThan">
      <formula>$I$79</formula>
    </cfRule>
  </conditionalFormatting>
  <conditionalFormatting sqref="I90">
    <cfRule type="cellIs" dxfId="24" priority="159" operator="greaterThan">
      <formula>$I$89</formula>
    </cfRule>
  </conditionalFormatting>
  <conditionalFormatting sqref="I110">
    <cfRule type="cellIs" dxfId="23" priority="148" operator="greaterThan">
      <formula>$I$109</formula>
    </cfRule>
  </conditionalFormatting>
  <conditionalFormatting sqref="I120">
    <cfRule type="cellIs" dxfId="22" priority="138" operator="greaterThan">
      <formula>$I$119</formula>
    </cfRule>
  </conditionalFormatting>
  <conditionalFormatting sqref="J70">
    <cfRule type="cellIs" dxfId="21" priority="185" operator="greaterThan">
      <formula>$J$69</formula>
    </cfRule>
  </conditionalFormatting>
  <conditionalFormatting sqref="J80">
    <cfRule type="cellIs" dxfId="20" priority="168" operator="greaterThan">
      <formula>$J$79</formula>
    </cfRule>
  </conditionalFormatting>
  <conditionalFormatting sqref="J90">
    <cfRule type="cellIs" dxfId="19" priority="158" operator="greaterThan">
      <formula>$J$89</formula>
    </cfRule>
  </conditionalFormatting>
  <conditionalFormatting sqref="J110">
    <cfRule type="cellIs" dxfId="18" priority="147" operator="greaterThan">
      <formula>$J$109</formula>
    </cfRule>
  </conditionalFormatting>
  <conditionalFormatting sqref="J120">
    <cfRule type="cellIs" dxfId="17" priority="137" operator="greaterThan">
      <formula>$J$119</formula>
    </cfRule>
  </conditionalFormatting>
  <conditionalFormatting sqref="K70">
    <cfRule type="cellIs" dxfId="16" priority="184" operator="greaterThan">
      <formula>$K$69</formula>
    </cfRule>
  </conditionalFormatting>
  <conditionalFormatting sqref="K80">
    <cfRule type="cellIs" dxfId="15" priority="167" operator="greaterThan">
      <formula>$K$79</formula>
    </cfRule>
  </conditionalFormatting>
  <conditionalFormatting sqref="K90">
    <cfRule type="cellIs" dxfId="14" priority="157" operator="greaterThan">
      <formula>$K$89</formula>
    </cfRule>
  </conditionalFormatting>
  <conditionalFormatting sqref="K110">
    <cfRule type="cellIs" dxfId="13" priority="146" operator="greaterThan">
      <formula>$K$109</formula>
    </cfRule>
  </conditionalFormatting>
  <conditionalFormatting sqref="K120">
    <cfRule type="cellIs" dxfId="12" priority="136" operator="greaterThan">
      <formula>$K$119</formula>
    </cfRule>
  </conditionalFormatting>
  <conditionalFormatting sqref="L70">
    <cfRule type="cellIs" dxfId="11" priority="183" operator="greaterThan">
      <formula>$L$69</formula>
    </cfRule>
  </conditionalFormatting>
  <conditionalFormatting sqref="L80">
    <cfRule type="cellIs" dxfId="10" priority="166" operator="greaterThan">
      <formula>$L$79</formula>
    </cfRule>
  </conditionalFormatting>
  <conditionalFormatting sqref="L90">
    <cfRule type="cellIs" dxfId="9" priority="156" operator="greaterThan">
      <formula>$L$89</formula>
    </cfRule>
  </conditionalFormatting>
  <conditionalFormatting sqref="L110">
    <cfRule type="cellIs" dxfId="8" priority="145" operator="greaterThan">
      <formula>$L$109</formula>
    </cfRule>
  </conditionalFormatting>
  <conditionalFormatting sqref="L120">
    <cfRule type="cellIs" dxfId="7" priority="135" operator="greaterThan">
      <formula>$L$119</formula>
    </cfRule>
  </conditionalFormatting>
  <conditionalFormatting sqref="C100:G100">
    <cfRule type="cellIs" dxfId="2" priority="6" operator="greaterThan">
      <formula>$C$89</formula>
    </cfRule>
  </conditionalFormatting>
  <conditionalFormatting sqref="C110:G110">
    <cfRule type="cellIs" dxfId="1" priority="4" operator="greaterThan">
      <formula>$C$89</formula>
    </cfRule>
  </conditionalFormatting>
  <conditionalFormatting sqref="C120:G120">
    <cfRule type="cellIs" dxfId="0" priority="2" operator="greaterThan">
      <formula>$C$89</formula>
    </cfRule>
  </conditionalFormatting>
  <hyperlinks>
    <hyperlink ref="N4" r:id="rId1" location="step-1-assign-accounts-articulate-vulnerabilities-and-strategies-to-manage-vulnerability" display="Help assign parties"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22" t="s">
        <v>423</v>
      </c>
      <c r="J5" s="423"/>
      <c r="K5" s="423"/>
      <c r="L5" s="423"/>
      <c r="M5" s="423"/>
      <c r="N5" s="423"/>
      <c r="O5" s="423"/>
      <c r="P5" s="423"/>
      <c r="Q5" s="423"/>
      <c r="R5" s="423"/>
      <c r="S5" s="423"/>
      <c r="T5" s="423"/>
      <c r="U5" s="423"/>
      <c r="V5" s="423"/>
      <c r="W5" s="424"/>
      <c r="Y5" s="192"/>
      <c r="Z5" s="192"/>
      <c r="AA5" s="192"/>
      <c r="AB5" s="334"/>
    </row>
    <row r="6" spans="1:53" s="184" customFormat="1" ht="27.5" customHeight="1" x14ac:dyDescent="0.15">
      <c r="B6" s="414" t="s">
        <v>228</v>
      </c>
      <c r="C6" s="415"/>
      <c r="D6" s="415"/>
      <c r="E6" s="415"/>
      <c r="F6" s="415"/>
      <c r="G6" s="416"/>
      <c r="I6" s="425" t="s">
        <v>13</v>
      </c>
      <c r="J6" s="427" t="s">
        <v>409</v>
      </c>
      <c r="K6" s="427" t="s">
        <v>408</v>
      </c>
      <c r="L6" s="428" t="s">
        <v>215</v>
      </c>
      <c r="M6" s="429"/>
      <c r="N6" s="429"/>
      <c r="O6" s="429"/>
      <c r="P6" s="429"/>
      <c r="Q6" s="430"/>
      <c r="R6" s="431" t="s">
        <v>216</v>
      </c>
      <c r="S6" s="432"/>
      <c r="T6" s="432"/>
      <c r="U6" s="432"/>
      <c r="V6" s="432"/>
      <c r="W6" s="433"/>
      <c r="Y6" s="307"/>
      <c r="Z6" s="307"/>
      <c r="AA6" s="307"/>
      <c r="AB6" s="335"/>
    </row>
    <row r="7" spans="1:53" s="184" customFormat="1" ht="44" customHeight="1" x14ac:dyDescent="0.15">
      <c r="B7" s="193">
        <v>0</v>
      </c>
      <c r="C7" s="194">
        <v>0</v>
      </c>
      <c r="D7" s="194">
        <v>0</v>
      </c>
      <c r="E7" s="194">
        <v>0</v>
      </c>
      <c r="F7" s="194">
        <v>0</v>
      </c>
      <c r="G7" s="194">
        <f>SUM(C7:F7)</f>
        <v>0</v>
      </c>
      <c r="I7" s="426"/>
      <c r="J7" s="426"/>
      <c r="K7" s="426"/>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17" t="s">
        <v>237</v>
      </c>
      <c r="C10" s="417"/>
      <c r="D10" s="417"/>
      <c r="E10" s="417"/>
      <c r="F10" s="417"/>
      <c r="G10" s="417"/>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18" t="s">
        <v>235</v>
      </c>
      <c r="D16" s="419"/>
      <c r="E16" s="419"/>
      <c r="F16" s="419"/>
      <c r="G16" s="420"/>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21" t="s">
        <v>424</v>
      </c>
      <c r="J19" s="421"/>
      <c r="K19" s="421"/>
      <c r="L19" s="421"/>
      <c r="M19" s="421"/>
      <c r="N19" s="421"/>
      <c r="O19" s="421"/>
      <c r="P19" s="421"/>
      <c r="Q19" s="421"/>
      <c r="R19" s="421"/>
      <c r="S19" s="421"/>
      <c r="T19" s="421"/>
      <c r="U19" s="421"/>
      <c r="Z19" s="250"/>
      <c r="AA19" s="250"/>
      <c r="AB19" s="250"/>
      <c r="AC19" s="250"/>
    </row>
    <row r="20" spans="2:58" s="192" customFormat="1" ht="27" customHeight="1" x14ac:dyDescent="0.15">
      <c r="I20" s="427" t="s">
        <v>13</v>
      </c>
      <c r="J20" s="427" t="s">
        <v>213</v>
      </c>
      <c r="K20" s="427" t="s">
        <v>214</v>
      </c>
      <c r="L20" s="414" t="s">
        <v>215</v>
      </c>
      <c r="M20" s="415"/>
      <c r="N20" s="415"/>
      <c r="O20" s="415"/>
      <c r="P20" s="416"/>
      <c r="Q20" s="431" t="s">
        <v>216</v>
      </c>
      <c r="R20" s="432"/>
      <c r="S20" s="432"/>
      <c r="T20" s="432"/>
      <c r="U20" s="433"/>
      <c r="Z20" s="254"/>
      <c r="AA20" s="254"/>
      <c r="AB20" s="254"/>
      <c r="AC20" s="254"/>
    </row>
    <row r="21" spans="2:58" s="192" customFormat="1" ht="35" customHeight="1" x14ac:dyDescent="0.15">
      <c r="I21" s="434"/>
      <c r="J21" s="434"/>
      <c r="K21" s="434"/>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1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306</v>
      </c>
    </row>
    <row r="3" spans="1:14" x14ac:dyDescent="0.2">
      <c r="A3" s="1" t="s">
        <v>312</v>
      </c>
    </row>
    <row r="4" spans="1:14" ht="29" customHeight="1" x14ac:dyDescent="0.2">
      <c r="A4" s="218" t="s">
        <v>307</v>
      </c>
      <c r="B4" s="218" t="s">
        <v>308</v>
      </c>
      <c r="C4" s="219" t="s">
        <v>309</v>
      </c>
      <c r="D4" s="219" t="s">
        <v>310</v>
      </c>
      <c r="F4" s="219" t="s">
        <v>308</v>
      </c>
      <c r="G4" s="219" t="s">
        <v>317</v>
      </c>
      <c r="H4" s="219" t="s">
        <v>318</v>
      </c>
    </row>
    <row r="5" spans="1:14" x14ac:dyDescent="0.2">
      <c r="A5" s="22" t="s">
        <v>311</v>
      </c>
      <c r="B5" s="22" t="s">
        <v>204</v>
      </c>
      <c r="C5" s="23">
        <v>12534</v>
      </c>
      <c r="D5" s="23"/>
      <c r="F5" s="21" t="s">
        <v>204</v>
      </c>
      <c r="G5" s="30">
        <f>SUMIFS($C$5:$C$13,$B$5:$B$13,F5)</f>
        <v>12534</v>
      </c>
      <c r="H5" s="222">
        <f>G5/G$8</f>
        <v>1.3163339249519528E-2</v>
      </c>
    </row>
    <row r="6" spans="1:14" x14ac:dyDescent="0.2">
      <c r="A6" s="22" t="s">
        <v>311</v>
      </c>
      <c r="B6" s="22" t="s">
        <v>203</v>
      </c>
      <c r="C6" s="23">
        <v>103535</v>
      </c>
      <c r="D6" s="23"/>
      <c r="F6" s="21" t="s">
        <v>203</v>
      </c>
      <c r="G6" s="30">
        <f t="shared" ref="G6:G7" si="0">SUMIFS($C$5:$C$13,$B$5:$B$13,F6)</f>
        <v>783134</v>
      </c>
      <c r="H6" s="222">
        <f t="shared" ref="H6:H8" si="1">G6/G$8</f>
        <v>0.82245560234827086</v>
      </c>
    </row>
    <row r="7" spans="1:14" x14ac:dyDescent="0.2">
      <c r="A7" s="22" t="s">
        <v>311</v>
      </c>
      <c r="B7" s="22" t="s">
        <v>202</v>
      </c>
      <c r="C7" s="23">
        <v>16720</v>
      </c>
      <c r="D7" s="23"/>
      <c r="F7" s="21" t="s">
        <v>202</v>
      </c>
      <c r="G7" s="30">
        <f t="shared" si="0"/>
        <v>156522</v>
      </c>
      <c r="H7" s="222">
        <f t="shared" si="1"/>
        <v>0.16438105840220965</v>
      </c>
    </row>
    <row r="8" spans="1:14" x14ac:dyDescent="0.2">
      <c r="A8" s="22" t="s">
        <v>313</v>
      </c>
      <c r="B8" s="22" t="s">
        <v>202</v>
      </c>
      <c r="C8" s="23">
        <v>11340</v>
      </c>
      <c r="D8" s="23"/>
      <c r="F8" s="225" t="s">
        <v>25</v>
      </c>
      <c r="G8" s="223">
        <f>SUM(G5:G7)</f>
        <v>952190</v>
      </c>
      <c r="H8" s="224">
        <f t="shared" si="1"/>
        <v>1</v>
      </c>
    </row>
    <row r="9" spans="1:14" x14ac:dyDescent="0.2">
      <c r="A9" s="22" t="s">
        <v>314</v>
      </c>
      <c r="B9" s="22" t="s">
        <v>203</v>
      </c>
      <c r="C9" s="23">
        <v>662402</v>
      </c>
      <c r="D9" s="23"/>
    </row>
    <row r="10" spans="1:14" x14ac:dyDescent="0.2">
      <c r="A10" s="22" t="s">
        <v>314</v>
      </c>
      <c r="B10" s="22" t="s">
        <v>202</v>
      </c>
      <c r="C10" s="23">
        <v>56846</v>
      </c>
      <c r="D10" s="23"/>
      <c r="G10" s="248"/>
    </row>
    <row r="11" spans="1:14" x14ac:dyDescent="0.2">
      <c r="A11" s="22" t="s">
        <v>315</v>
      </c>
      <c r="B11" s="22" t="s">
        <v>203</v>
      </c>
      <c r="C11" s="23">
        <v>6350</v>
      </c>
      <c r="D11" s="23"/>
    </row>
    <row r="12" spans="1:14" x14ac:dyDescent="0.2">
      <c r="A12" s="22" t="s">
        <v>315</v>
      </c>
      <c r="B12" s="22" t="s">
        <v>202</v>
      </c>
      <c r="C12" s="23">
        <v>71616</v>
      </c>
      <c r="D12" s="23"/>
      <c r="I12" s="275"/>
      <c r="J12" s="275"/>
      <c r="K12" s="275"/>
      <c r="L12" s="275"/>
      <c r="M12" s="275"/>
      <c r="N12" s="275"/>
    </row>
    <row r="13" spans="1:14" x14ac:dyDescent="0.2">
      <c r="A13" s="22" t="s">
        <v>316</v>
      </c>
      <c r="B13" s="22" t="s">
        <v>203</v>
      </c>
      <c r="C13" s="23">
        <v>10847</v>
      </c>
      <c r="D13" s="23">
        <v>22928</v>
      </c>
    </row>
    <row r="14" spans="1:14" s="1" customFormat="1" x14ac:dyDescent="0.2">
      <c r="A14" s="220" t="s">
        <v>25</v>
      </c>
      <c r="B14" s="220"/>
      <c r="C14" s="221">
        <f>SUM(C5:C13)</f>
        <v>952190</v>
      </c>
      <c r="D14" s="221">
        <f>SUM(D5:D13)</f>
        <v>22928</v>
      </c>
    </row>
    <row r="17" spans="1:3" x14ac:dyDescent="0.2">
      <c r="A17" s="1" t="s">
        <v>319</v>
      </c>
    </row>
    <row r="18" spans="1:3" x14ac:dyDescent="0.2">
      <c r="A18" s="218" t="s">
        <v>320</v>
      </c>
      <c r="B18" s="226" t="s">
        <v>321</v>
      </c>
      <c r="C18" s="226" t="s">
        <v>322</v>
      </c>
    </row>
    <row r="19" spans="1:3" x14ac:dyDescent="0.2">
      <c r="A19" s="22" t="s">
        <v>323</v>
      </c>
      <c r="B19" s="23">
        <v>769208</v>
      </c>
      <c r="C19" s="23">
        <v>441381</v>
      </c>
    </row>
    <row r="20" spans="1:3" x14ac:dyDescent="0.2">
      <c r="A20" s="22" t="s">
        <v>324</v>
      </c>
      <c r="B20" s="23">
        <v>15340</v>
      </c>
      <c r="C20" s="23">
        <v>9017</v>
      </c>
    </row>
    <row r="21" spans="1:3" x14ac:dyDescent="0.2">
      <c r="A21" s="22" t="s">
        <v>325</v>
      </c>
      <c r="B21" s="23">
        <v>2844</v>
      </c>
      <c r="C21" s="23">
        <v>1698</v>
      </c>
    </row>
    <row r="22" spans="1:3" x14ac:dyDescent="0.2">
      <c r="A22" s="22" t="s">
        <v>326</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35" t="e">
        <f>#REF!</f>
        <v>#REF!</v>
      </c>
      <c r="B1" s="435"/>
      <c r="C1" s="435"/>
      <c r="D1" s="435"/>
      <c r="E1" s="435"/>
      <c r="F1" s="435"/>
      <c r="G1" s="435"/>
    </row>
    <row r="2" spans="1:14" x14ac:dyDescent="0.2">
      <c r="A2" s="1" t="s">
        <v>181</v>
      </c>
      <c r="B2" s="1"/>
    </row>
    <row r="3" spans="1:14" ht="32.25" customHeight="1" x14ac:dyDescent="0.2">
      <c r="A3" s="402" t="s">
        <v>177</v>
      </c>
      <c r="B3" s="402"/>
      <c r="C3" s="402"/>
      <c r="D3" s="402"/>
      <c r="E3" s="402"/>
      <c r="F3" s="402"/>
      <c r="G3" s="402"/>
      <c r="H3" s="82"/>
      <c r="I3" s="82"/>
      <c r="J3" s="82"/>
      <c r="K3" s="82"/>
      <c r="N3" s="134" t="s">
        <v>156</v>
      </c>
    </row>
    <row r="4" spans="1:14" x14ac:dyDescent="0.2">
      <c r="A4" s="124" t="s">
        <v>109</v>
      </c>
      <c r="B4" s="124" t="s">
        <v>19</v>
      </c>
      <c r="C4" s="403" t="s">
        <v>20</v>
      </c>
      <c r="D4" s="404"/>
      <c r="E4" s="404"/>
      <c r="F4" s="404"/>
      <c r="G4" s="405"/>
      <c r="N4" s="136" t="s">
        <v>128</v>
      </c>
    </row>
    <row r="5" spans="1:14" x14ac:dyDescent="0.2">
      <c r="A5" s="88" t="s">
        <v>16</v>
      </c>
      <c r="B5" s="111"/>
      <c r="C5" s="406"/>
      <c r="D5" s="401"/>
      <c r="E5" s="401"/>
      <c r="F5" s="401"/>
      <c r="G5" s="401"/>
      <c r="N5" s="139"/>
    </row>
    <row r="6" spans="1:14" x14ac:dyDescent="0.2">
      <c r="A6" s="88" t="s">
        <v>17</v>
      </c>
      <c r="B6" s="111"/>
      <c r="C6" s="406"/>
      <c r="D6" s="401"/>
      <c r="E6" s="401"/>
      <c r="F6" s="401"/>
      <c r="G6" s="401"/>
      <c r="N6" s="139"/>
    </row>
    <row r="7" spans="1:14" x14ac:dyDescent="0.2">
      <c r="A7" s="88" t="s">
        <v>18</v>
      </c>
      <c r="B7" s="111"/>
      <c r="C7" s="406"/>
      <c r="D7" s="401"/>
      <c r="E7" s="401"/>
      <c r="F7" s="401"/>
      <c r="G7" s="401"/>
      <c r="N7" s="139"/>
    </row>
    <row r="8" spans="1:14" x14ac:dyDescent="0.2">
      <c r="A8" s="111" t="s">
        <v>39</v>
      </c>
      <c r="B8" s="88"/>
      <c r="C8" s="401"/>
      <c r="D8" s="401"/>
      <c r="E8" s="401"/>
      <c r="F8" s="401"/>
      <c r="G8" s="401"/>
      <c r="N8" s="139"/>
    </row>
    <row r="9" spans="1:14" x14ac:dyDescent="0.2">
      <c r="A9" s="111" t="s">
        <v>162</v>
      </c>
      <c r="B9" s="88"/>
      <c r="C9" s="407"/>
      <c r="D9" s="407"/>
      <c r="E9" s="407"/>
      <c r="F9" s="407"/>
      <c r="G9" s="407"/>
      <c r="N9" s="139"/>
    </row>
    <row r="10" spans="1:14" x14ac:dyDescent="0.2">
      <c r="A10" s="112" t="s">
        <v>40</v>
      </c>
      <c r="B10" s="112"/>
      <c r="C10" s="436"/>
      <c r="D10" s="436"/>
      <c r="E10" s="436"/>
      <c r="F10" s="436"/>
      <c r="G10" s="436"/>
      <c r="N10" s="139"/>
    </row>
    <row r="11" spans="1:14" x14ac:dyDescent="0.2">
      <c r="A11" s="13"/>
      <c r="B11" s="2"/>
      <c r="C11"/>
      <c r="N11" s="139"/>
    </row>
    <row r="12" spans="1:14" x14ac:dyDescent="0.2">
      <c r="A12" s="15" t="s">
        <v>110</v>
      </c>
      <c r="B12" s="408" t="s">
        <v>112</v>
      </c>
      <c r="C12" s="409"/>
      <c r="D12" s="410"/>
      <c r="N12" s="138" t="s">
        <v>129</v>
      </c>
    </row>
    <row r="13" spans="1:14" x14ac:dyDescent="0.2">
      <c r="B13" s="411" t="s">
        <v>113</v>
      </c>
      <c r="C13" s="412"/>
      <c r="D13" s="413"/>
      <c r="N13" s="139"/>
    </row>
    <row r="14" spans="1:14" x14ac:dyDescent="0.2">
      <c r="B14" s="395" t="s">
        <v>114</v>
      </c>
      <c r="C14" s="396"/>
      <c r="D14" s="397"/>
      <c r="N14" s="139"/>
    </row>
    <row r="15" spans="1:14" x14ac:dyDescent="0.2">
      <c r="B15" s="398" t="s">
        <v>21</v>
      </c>
      <c r="C15" s="399"/>
      <c r="D15" s="400"/>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37" t="s">
        <v>59</v>
      </c>
      <c r="E3" s="437"/>
      <c r="F3" s="437" t="s">
        <v>60</v>
      </c>
      <c r="G3" s="437"/>
      <c r="H3" s="437"/>
      <c r="I3" s="437" t="s">
        <v>61</v>
      </c>
      <c r="J3" s="437"/>
      <c r="K3" s="437"/>
      <c r="L3" s="131"/>
      <c r="M3" s="437" t="s">
        <v>18</v>
      </c>
      <c r="N3" s="437"/>
      <c r="O3" s="437"/>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6" priority="1" operator="equal">
      <formula>$B$7</formula>
    </cfRule>
    <cfRule type="cellIs" dxfId="5" priority="2" operator="equal">
      <formula>$B$8</formula>
    </cfRule>
    <cfRule type="cellIs" dxfId="4" priority="3" operator="equal">
      <formula>$B$9</formula>
    </cfRule>
    <cfRule type="cellIs" dxfId="3"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38" t="s">
        <v>116</v>
      </c>
      <c r="B3" s="438"/>
      <c r="C3" s="438"/>
      <c r="D3" s="125" t="s">
        <v>115</v>
      </c>
    </row>
    <row r="4" spans="1:4" ht="30" customHeight="1" x14ac:dyDescent="0.2">
      <c r="A4" s="439" t="s">
        <v>112</v>
      </c>
      <c r="B4" s="439"/>
      <c r="C4" s="439"/>
      <c r="D4" s="172" t="s">
        <v>182</v>
      </c>
    </row>
    <row r="5" spans="1:4" ht="48" x14ac:dyDescent="0.2">
      <c r="A5" s="443" t="s">
        <v>183</v>
      </c>
      <c r="B5" s="440"/>
      <c r="C5" s="440"/>
      <c r="D5" s="173" t="s">
        <v>201</v>
      </c>
    </row>
    <row r="6" spans="1:4" ht="57.5" customHeight="1" x14ac:dyDescent="0.2">
      <c r="A6" s="441" t="s">
        <v>184</v>
      </c>
      <c r="B6" s="441"/>
      <c r="C6" s="441"/>
      <c r="D6" s="174" t="s">
        <v>185</v>
      </c>
    </row>
    <row r="7" spans="1:4" ht="32" x14ac:dyDescent="0.2">
      <c r="A7" s="442" t="s">
        <v>21</v>
      </c>
      <c r="B7" s="442"/>
      <c r="C7" s="442"/>
      <c r="D7" s="175" t="s">
        <v>186</v>
      </c>
    </row>
    <row r="11" spans="1:4" x14ac:dyDescent="0.2">
      <c r="A11" s="439" t="s">
        <v>112</v>
      </c>
      <c r="B11" s="439"/>
      <c r="C11" s="439"/>
    </row>
    <row r="12" spans="1:4" x14ac:dyDescent="0.2">
      <c r="A12" s="440" t="s">
        <v>113</v>
      </c>
      <c r="B12" s="440"/>
      <c r="C12" s="440"/>
    </row>
    <row r="13" spans="1:4" x14ac:dyDescent="0.2">
      <c r="A13" s="441" t="s">
        <v>114</v>
      </c>
      <c r="B13" s="441"/>
      <c r="C13" s="441"/>
    </row>
    <row r="14" spans="1:4" x14ac:dyDescent="0.2">
      <c r="A14" s="442" t="s">
        <v>21</v>
      </c>
      <c r="B14" s="442"/>
      <c r="C14" s="442"/>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461</v>
      </c>
    </row>
    <row r="2" spans="1:6" x14ac:dyDescent="0.2">
      <c r="A2" t="s">
        <v>460</v>
      </c>
    </row>
    <row r="3" spans="1:6" ht="32" customHeight="1" x14ac:dyDescent="0.2">
      <c r="A3" s="36" t="s">
        <v>460</v>
      </c>
      <c r="B3" s="35" t="s">
        <v>459</v>
      </c>
      <c r="C3" s="35" t="s">
        <v>458</v>
      </c>
      <c r="D3" s="35" t="s">
        <v>457</v>
      </c>
      <c r="E3" s="35" t="s">
        <v>456</v>
      </c>
      <c r="F3" s="321"/>
    </row>
    <row r="4" spans="1:6" ht="17.5" customHeight="1" x14ac:dyDescent="0.2">
      <c r="A4" s="323" t="s">
        <v>447</v>
      </c>
      <c r="B4" s="322"/>
      <c r="C4" s="322"/>
      <c r="D4" s="322"/>
      <c r="E4" s="322"/>
      <c r="F4" s="321"/>
    </row>
    <row r="5" spans="1:6" ht="17.5" customHeight="1" x14ac:dyDescent="0.2">
      <c r="A5" s="319" t="s">
        <v>455</v>
      </c>
      <c r="B5" s="320"/>
      <c r="C5" s="320"/>
      <c r="D5" s="320"/>
      <c r="E5" s="319"/>
      <c r="F5" s="321"/>
    </row>
    <row r="6" spans="1:6" ht="17.5" customHeight="1" x14ac:dyDescent="0.2">
      <c r="A6" s="37" t="s">
        <v>454</v>
      </c>
      <c r="B6" s="38" t="s">
        <v>453</v>
      </c>
      <c r="C6" s="311">
        <v>0.17499999999999999</v>
      </c>
      <c r="D6" s="38" t="s">
        <v>452</v>
      </c>
      <c r="E6" s="309">
        <v>29.8</v>
      </c>
      <c r="F6" s="321"/>
    </row>
    <row r="7" spans="1:6" ht="17.5" customHeight="1" x14ac:dyDescent="0.2">
      <c r="A7" s="37" t="s">
        <v>450</v>
      </c>
      <c r="B7" s="38">
        <v>2023</v>
      </c>
      <c r="C7" s="311">
        <f>(2517+4633+15091+15571)/1000000</f>
        <v>3.7811999999999998E-2</v>
      </c>
      <c r="D7" s="38" t="s">
        <v>451</v>
      </c>
      <c r="E7" s="309">
        <f>0.992+1.205+5.344+8.335</f>
        <v>15.876000000000001</v>
      </c>
      <c r="F7" s="321"/>
    </row>
    <row r="8" spans="1:6" ht="17.5" customHeight="1" x14ac:dyDescent="0.2">
      <c r="A8" s="37" t="s">
        <v>450</v>
      </c>
      <c r="B8" s="38" t="s">
        <v>449</v>
      </c>
      <c r="C8" s="311">
        <v>2.2116E-2</v>
      </c>
      <c r="D8" s="38" t="s">
        <v>448</v>
      </c>
      <c r="E8" s="309">
        <v>4.5599999999999996</v>
      </c>
      <c r="F8" s="321"/>
    </row>
    <row r="9" spans="1:6" s="57" customFormat="1" x14ac:dyDescent="0.2">
      <c r="A9" s="319" t="s">
        <v>447</v>
      </c>
      <c r="B9" s="320"/>
      <c r="C9" s="320"/>
      <c r="D9" s="320"/>
      <c r="E9" s="319"/>
    </row>
    <row r="10" spans="1:6" s="57" customFormat="1" ht="16" x14ac:dyDescent="0.2">
      <c r="A10" s="37" t="s">
        <v>446</v>
      </c>
      <c r="B10" s="38" t="s">
        <v>445</v>
      </c>
      <c r="C10" s="311">
        <v>4.0999999999999996</v>
      </c>
      <c r="D10" s="38" t="s">
        <v>442</v>
      </c>
      <c r="E10" s="309" t="s">
        <v>442</v>
      </c>
      <c r="F10" s="318"/>
    </row>
    <row r="11" spans="1:6" s="57" customFormat="1" ht="16" x14ac:dyDescent="0.2">
      <c r="A11" s="37" t="s">
        <v>444</v>
      </c>
      <c r="B11" s="38" t="s">
        <v>443</v>
      </c>
      <c r="C11" s="311">
        <v>0.63121000000000005</v>
      </c>
      <c r="D11" s="38" t="s">
        <v>442</v>
      </c>
      <c r="E11" s="309" t="s">
        <v>442</v>
      </c>
      <c r="F11" s="318"/>
    </row>
    <row r="12" spans="1:6" s="56" customFormat="1" ht="16" x14ac:dyDescent="0.2">
      <c r="A12" s="317" t="s">
        <v>441</v>
      </c>
      <c r="B12" s="315"/>
      <c r="C12" s="316"/>
      <c r="D12" s="315"/>
      <c r="E12" s="314"/>
      <c r="F12" s="313"/>
    </row>
    <row r="13" spans="1:6" ht="16" x14ac:dyDescent="0.2">
      <c r="A13" s="37" t="s">
        <v>440</v>
      </c>
      <c r="B13" s="21">
        <v>2021</v>
      </c>
      <c r="C13" s="21" t="s">
        <v>437</v>
      </c>
      <c r="D13" s="38" t="s">
        <v>439</v>
      </c>
      <c r="E13" s="21" t="s">
        <v>437</v>
      </c>
    </row>
    <row r="14" spans="1:6" ht="16" x14ac:dyDescent="0.2">
      <c r="A14" s="37" t="s">
        <v>438</v>
      </c>
      <c r="B14" s="21">
        <v>2021</v>
      </c>
      <c r="C14" s="21" t="s">
        <v>437</v>
      </c>
      <c r="D14" s="312">
        <v>2000</v>
      </c>
      <c r="E14" s="21" t="s">
        <v>437</v>
      </c>
    </row>
    <row r="15" spans="1:6" ht="16" x14ac:dyDescent="0.2">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392</v>
      </c>
    </row>
    <row r="2" spans="1:20" ht="33" customHeight="1" x14ac:dyDescent="0.2">
      <c r="A2" s="444" t="s">
        <v>420</v>
      </c>
      <c r="B2" s="445"/>
      <c r="C2" s="445"/>
      <c r="D2" s="445"/>
      <c r="E2" s="445"/>
      <c r="F2" s="445"/>
      <c r="G2" s="445"/>
      <c r="H2" s="445"/>
      <c r="I2" s="445"/>
      <c r="J2" s="445"/>
      <c r="K2" s="445"/>
      <c r="L2" s="445"/>
      <c r="M2" s="445"/>
      <c r="N2" s="445"/>
      <c r="O2" s="445"/>
      <c r="P2" s="445"/>
      <c r="Q2" s="445"/>
      <c r="R2" s="445"/>
      <c r="S2" s="445"/>
      <c r="T2" s="445"/>
    </row>
    <row r="3" spans="1:20" ht="16" thickBot="1" x14ac:dyDescent="0.25"/>
    <row r="4" spans="1:20" ht="32" x14ac:dyDescent="0.2">
      <c r="A4" s="262" t="s">
        <v>351</v>
      </c>
      <c r="B4" s="263" t="s">
        <v>352</v>
      </c>
      <c r="C4" s="264" t="s">
        <v>419</v>
      </c>
      <c r="D4" s="265" t="s">
        <v>353</v>
      </c>
      <c r="E4" s="265" t="s">
        <v>354</v>
      </c>
      <c r="F4" s="265" t="s">
        <v>355</v>
      </c>
      <c r="G4" s="265" t="s">
        <v>356</v>
      </c>
      <c r="H4" s="265" t="s">
        <v>357</v>
      </c>
      <c r="I4" s="266" t="s">
        <v>358</v>
      </c>
    </row>
    <row r="5" spans="1:20" x14ac:dyDescent="0.2">
      <c r="A5" s="267" t="s">
        <v>359</v>
      </c>
      <c r="B5" s="237">
        <v>64</v>
      </c>
      <c r="C5">
        <v>0</v>
      </c>
      <c r="D5" s="2">
        <v>8</v>
      </c>
      <c r="E5">
        <v>122</v>
      </c>
      <c r="F5">
        <v>0</v>
      </c>
      <c r="G5">
        <v>0</v>
      </c>
      <c r="H5">
        <v>0</v>
      </c>
      <c r="I5" s="238">
        <f t="shared" ref="I5:I26" si="0">AVERAGE(F5:H5)</f>
        <v>0</v>
      </c>
    </row>
    <row r="6" spans="1:20" x14ac:dyDescent="0.2">
      <c r="A6" s="268" t="s">
        <v>360</v>
      </c>
      <c r="B6" s="237">
        <v>112</v>
      </c>
      <c r="C6" s="237">
        <v>11.6</v>
      </c>
      <c r="D6" s="2" t="s">
        <v>361</v>
      </c>
      <c r="E6">
        <v>81</v>
      </c>
      <c r="F6">
        <v>2.8</v>
      </c>
      <c r="G6">
        <v>4.7</v>
      </c>
      <c r="H6">
        <v>4.2</v>
      </c>
      <c r="I6" s="238">
        <f t="shared" si="0"/>
        <v>3.9</v>
      </c>
    </row>
    <row r="7" spans="1:20" x14ac:dyDescent="0.2">
      <c r="A7" s="268" t="s">
        <v>362</v>
      </c>
      <c r="B7" s="237">
        <v>100</v>
      </c>
      <c r="C7">
        <v>14.1</v>
      </c>
      <c r="D7" s="2" t="s">
        <v>361</v>
      </c>
      <c r="E7">
        <v>13</v>
      </c>
      <c r="F7">
        <v>10</v>
      </c>
      <c r="G7">
        <v>-1.3</v>
      </c>
      <c r="H7">
        <v>5.4</v>
      </c>
      <c r="I7" s="238">
        <f t="shared" si="0"/>
        <v>4.7</v>
      </c>
    </row>
    <row r="8" spans="1:20" x14ac:dyDescent="0.2">
      <c r="A8" s="268" t="s">
        <v>363</v>
      </c>
      <c r="B8" s="237">
        <v>97</v>
      </c>
      <c r="C8">
        <v>14.1</v>
      </c>
      <c r="D8" s="2" t="s">
        <v>364</v>
      </c>
      <c r="E8">
        <v>147</v>
      </c>
      <c r="F8">
        <v>3.8</v>
      </c>
      <c r="G8">
        <v>6.3</v>
      </c>
      <c r="H8">
        <v>4</v>
      </c>
      <c r="I8" s="238">
        <f t="shared" si="0"/>
        <v>4.7</v>
      </c>
      <c r="J8" s="270" t="s">
        <v>422</v>
      </c>
    </row>
    <row r="9" spans="1:20" x14ac:dyDescent="0.2">
      <c r="A9" s="268" t="s">
        <v>365</v>
      </c>
      <c r="B9" s="237">
        <v>112</v>
      </c>
      <c r="C9">
        <v>16.5</v>
      </c>
      <c r="D9" s="2" t="s">
        <v>366</v>
      </c>
      <c r="E9">
        <v>103</v>
      </c>
      <c r="F9">
        <v>5.9</v>
      </c>
      <c r="G9">
        <v>5.0999999999999996</v>
      </c>
      <c r="H9">
        <v>5.5</v>
      </c>
      <c r="I9" s="238">
        <f t="shared" si="0"/>
        <v>5.5</v>
      </c>
      <c r="J9" s="270" t="s">
        <v>421</v>
      </c>
    </row>
    <row r="10" spans="1:20" x14ac:dyDescent="0.2">
      <c r="A10" s="268" t="s">
        <v>367</v>
      </c>
      <c r="B10" s="237">
        <v>100</v>
      </c>
      <c r="C10">
        <v>16.600000000000001</v>
      </c>
      <c r="D10" s="2" t="s">
        <v>368</v>
      </c>
      <c r="E10">
        <v>26</v>
      </c>
      <c r="F10">
        <v>5.5</v>
      </c>
      <c r="G10">
        <v>5.5</v>
      </c>
      <c r="H10">
        <v>5.5</v>
      </c>
      <c r="I10" s="238">
        <f t="shared" si="0"/>
        <v>5.5</v>
      </c>
    </row>
    <row r="11" spans="1:20" x14ac:dyDescent="0.2">
      <c r="A11" s="268" t="s">
        <v>369</v>
      </c>
      <c r="B11" s="237">
        <v>112</v>
      </c>
      <c r="C11" s="237">
        <v>16.600000000000001</v>
      </c>
      <c r="D11" s="2" t="s">
        <v>361</v>
      </c>
      <c r="E11">
        <v>81</v>
      </c>
      <c r="F11">
        <v>3.8</v>
      </c>
      <c r="G11">
        <v>6.6</v>
      </c>
      <c r="H11">
        <v>6.1</v>
      </c>
      <c r="I11" s="238">
        <f t="shared" si="0"/>
        <v>5.5</v>
      </c>
      <c r="J11" s="270" t="s">
        <v>421</v>
      </c>
    </row>
    <row r="12" spans="1:20" x14ac:dyDescent="0.2">
      <c r="A12" s="268" t="s">
        <v>370</v>
      </c>
      <c r="B12" s="237">
        <v>100</v>
      </c>
      <c r="C12" s="237">
        <v>17.8</v>
      </c>
      <c r="D12" s="2" t="s">
        <v>371</v>
      </c>
      <c r="E12">
        <v>31</v>
      </c>
      <c r="F12">
        <v>5.9</v>
      </c>
      <c r="G12">
        <v>5.9</v>
      </c>
      <c r="H12">
        <v>5.9</v>
      </c>
      <c r="I12" s="238">
        <f t="shared" si="0"/>
        <v>5.9000000000000012</v>
      </c>
    </row>
    <row r="13" spans="1:20" x14ac:dyDescent="0.2">
      <c r="A13" s="268" t="s">
        <v>372</v>
      </c>
      <c r="B13" s="237">
        <v>100</v>
      </c>
      <c r="C13">
        <v>18</v>
      </c>
      <c r="D13" s="2" t="s">
        <v>373</v>
      </c>
      <c r="E13">
        <v>18</v>
      </c>
      <c r="F13">
        <v>11</v>
      </c>
      <c r="G13">
        <v>5.6</v>
      </c>
      <c r="H13">
        <v>8.1</v>
      </c>
      <c r="I13" s="238">
        <f t="shared" si="0"/>
        <v>8.2333333333333343</v>
      </c>
    </row>
    <row r="14" spans="1:20" x14ac:dyDescent="0.2">
      <c r="A14" s="268" t="s">
        <v>374</v>
      </c>
      <c r="B14" s="237">
        <v>112</v>
      </c>
      <c r="C14" s="237">
        <v>19.3</v>
      </c>
      <c r="D14" s="2" t="s">
        <v>361</v>
      </c>
      <c r="E14">
        <v>81</v>
      </c>
      <c r="F14">
        <v>4.4000000000000004</v>
      </c>
      <c r="G14">
        <v>7.8</v>
      </c>
      <c r="H14">
        <v>7.2</v>
      </c>
      <c r="I14" s="238">
        <f t="shared" si="0"/>
        <v>6.4666666666666659</v>
      </c>
    </row>
    <row r="15" spans="1:20" x14ac:dyDescent="0.2">
      <c r="A15" s="268" t="s">
        <v>375</v>
      </c>
      <c r="B15" s="237">
        <v>100</v>
      </c>
      <c r="C15">
        <v>20.399999999999999</v>
      </c>
      <c r="D15" s="2" t="s">
        <v>376</v>
      </c>
      <c r="E15">
        <v>48</v>
      </c>
      <c r="F15">
        <v>5.9</v>
      </c>
      <c r="G15">
        <v>5.9</v>
      </c>
      <c r="H15">
        <v>8.5</v>
      </c>
      <c r="I15" s="238">
        <f t="shared" si="0"/>
        <v>6.7666666666666666</v>
      </c>
    </row>
    <row r="16" spans="1:20" x14ac:dyDescent="0.2">
      <c r="A16" s="268" t="s">
        <v>377</v>
      </c>
      <c r="B16" s="237">
        <v>100</v>
      </c>
      <c r="C16" s="237">
        <v>20.399999999999999</v>
      </c>
      <c r="D16" s="2" t="s">
        <v>378</v>
      </c>
      <c r="E16">
        <v>45</v>
      </c>
      <c r="F16">
        <v>8.3000000000000007</v>
      </c>
      <c r="G16">
        <v>6.6</v>
      </c>
      <c r="H16">
        <v>5.5</v>
      </c>
      <c r="I16" s="238">
        <f t="shared" si="0"/>
        <v>6.8</v>
      </c>
    </row>
    <row r="17" spans="1:9" x14ac:dyDescent="0.2">
      <c r="A17" s="268" t="s">
        <v>379</v>
      </c>
      <c r="B17" s="237">
        <v>100</v>
      </c>
      <c r="C17" s="237">
        <v>20.5</v>
      </c>
      <c r="D17" s="2" t="s">
        <v>380</v>
      </c>
      <c r="E17">
        <v>2</v>
      </c>
      <c r="F17">
        <v>8.6</v>
      </c>
      <c r="G17">
        <v>5.9</v>
      </c>
      <c r="H17">
        <v>5.9</v>
      </c>
      <c r="I17" s="238">
        <f t="shared" si="0"/>
        <v>6.8</v>
      </c>
    </row>
    <row r="18" spans="1:9" x14ac:dyDescent="0.2">
      <c r="A18" s="268" t="s">
        <v>381</v>
      </c>
      <c r="B18" s="237">
        <v>1</v>
      </c>
      <c r="C18">
        <v>20.9</v>
      </c>
      <c r="D18" s="2" t="s">
        <v>371</v>
      </c>
      <c r="E18">
        <v>430</v>
      </c>
      <c r="F18">
        <v>6.4</v>
      </c>
      <c r="G18">
        <v>8.4</v>
      </c>
      <c r="H18">
        <v>6.1</v>
      </c>
      <c r="I18" s="238">
        <f t="shared" si="0"/>
        <v>6.9666666666666659</v>
      </c>
    </row>
    <row r="19" spans="1:9" x14ac:dyDescent="0.2">
      <c r="A19" s="268" t="s">
        <v>382</v>
      </c>
      <c r="B19" s="237">
        <v>1</v>
      </c>
      <c r="C19">
        <v>20.9</v>
      </c>
      <c r="D19" s="2" t="s">
        <v>371</v>
      </c>
      <c r="E19">
        <v>430</v>
      </c>
      <c r="F19">
        <v>6.4</v>
      </c>
      <c r="G19">
        <v>8.4</v>
      </c>
      <c r="H19">
        <v>6.1</v>
      </c>
      <c r="I19" s="238">
        <f t="shared" si="0"/>
        <v>6.9666666666666659</v>
      </c>
    </row>
    <row r="20" spans="1:9" x14ac:dyDescent="0.2">
      <c r="A20" s="268" t="s">
        <v>383</v>
      </c>
      <c r="B20" s="237">
        <v>112</v>
      </c>
      <c r="C20" s="237">
        <v>21.7</v>
      </c>
      <c r="D20" s="2" t="s">
        <v>361</v>
      </c>
      <c r="E20">
        <v>81</v>
      </c>
      <c r="F20">
        <v>4.9000000000000004</v>
      </c>
      <c r="G20">
        <v>8.6999999999999993</v>
      </c>
      <c r="H20">
        <v>8.1</v>
      </c>
      <c r="I20" s="238">
        <f t="shared" si="0"/>
        <v>7.2333333333333334</v>
      </c>
    </row>
    <row r="21" spans="1:9" x14ac:dyDescent="0.2">
      <c r="A21" s="268" t="s">
        <v>384</v>
      </c>
      <c r="B21" s="237">
        <v>112</v>
      </c>
      <c r="C21" s="237">
        <v>21.8</v>
      </c>
      <c r="D21" s="2" t="s">
        <v>361</v>
      </c>
      <c r="E21">
        <v>81</v>
      </c>
      <c r="F21">
        <v>5</v>
      </c>
      <c r="G21">
        <v>8.6999999999999993</v>
      </c>
      <c r="H21">
        <v>8.1</v>
      </c>
      <c r="I21" s="238">
        <f t="shared" si="0"/>
        <v>7.2666666666666657</v>
      </c>
    </row>
    <row r="22" spans="1:9" x14ac:dyDescent="0.2">
      <c r="A22" s="268" t="s">
        <v>385</v>
      </c>
      <c r="B22" s="237">
        <v>112</v>
      </c>
      <c r="C22" s="237">
        <v>24.2</v>
      </c>
      <c r="D22" s="2" t="s">
        <v>386</v>
      </c>
      <c r="E22">
        <v>80</v>
      </c>
      <c r="F22">
        <v>5.5</v>
      </c>
      <c r="G22">
        <v>9.6999999999999993</v>
      </c>
      <c r="H22">
        <v>9</v>
      </c>
      <c r="I22" s="238">
        <f t="shared" si="0"/>
        <v>8.0666666666666664</v>
      </c>
    </row>
    <row r="23" spans="1:9" x14ac:dyDescent="0.2">
      <c r="A23" s="268" t="s">
        <v>387</v>
      </c>
      <c r="B23" s="237">
        <v>100</v>
      </c>
      <c r="C23" s="237">
        <v>24.8</v>
      </c>
      <c r="D23" s="2" t="s">
        <v>388</v>
      </c>
      <c r="E23">
        <v>5</v>
      </c>
      <c r="F23">
        <v>8.4</v>
      </c>
      <c r="G23">
        <v>5.9</v>
      </c>
      <c r="H23">
        <v>10.5</v>
      </c>
      <c r="I23" s="238">
        <f t="shared" si="0"/>
        <v>8.2666666666666675</v>
      </c>
    </row>
    <row r="24" spans="1:9" x14ac:dyDescent="0.2">
      <c r="A24" s="268" t="s">
        <v>389</v>
      </c>
      <c r="B24" s="237">
        <v>1</v>
      </c>
      <c r="C24" s="237">
        <v>26.1</v>
      </c>
      <c r="D24" s="239" t="s">
        <v>371</v>
      </c>
      <c r="E24" s="237">
        <v>97</v>
      </c>
      <c r="F24" s="237">
        <v>5.9</v>
      </c>
      <c r="G24" s="237">
        <v>10.5</v>
      </c>
      <c r="H24" s="237">
        <v>9.6</v>
      </c>
      <c r="I24" s="238">
        <f t="shared" si="0"/>
        <v>8.6666666666666661</v>
      </c>
    </row>
    <row r="25" spans="1:9" x14ac:dyDescent="0.2">
      <c r="A25" s="268" t="s">
        <v>390</v>
      </c>
      <c r="B25" s="237">
        <v>1</v>
      </c>
      <c r="C25">
        <v>26.1</v>
      </c>
      <c r="D25" s="2" t="s">
        <v>371</v>
      </c>
      <c r="E25">
        <v>72</v>
      </c>
      <c r="F25">
        <v>5.9</v>
      </c>
      <c r="G25">
        <v>10.5</v>
      </c>
      <c r="H25">
        <v>9.6</v>
      </c>
      <c r="I25" s="238">
        <f t="shared" si="0"/>
        <v>8.6666666666666661</v>
      </c>
    </row>
    <row r="26" spans="1:9" ht="16" thickBot="1" x14ac:dyDescent="0.25">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2025-12-02T19:52:01Z</dcterms:modified>
</cp:coreProperties>
</file>