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Post2026\FinalEIS\"/>
    </mc:Choice>
  </mc:AlternateContent>
  <xr:revisionPtr revIDLastSave="0" documentId="13_ncr:1_{E1DAD178-F0FB-4B78-81BC-9BB293A74E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ortages-2027to2028" sheetId="3" r:id="rId1"/>
    <sheet name="Shortages229-20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3" l="1"/>
  <c r="H22" i="3"/>
  <c r="N21" i="3"/>
  <c r="M21" i="3"/>
  <c r="L21" i="3"/>
  <c r="J19" i="3"/>
  <c r="H19" i="3"/>
  <c r="Q18" i="3"/>
  <c r="L18" i="3"/>
  <c r="J18" i="3"/>
  <c r="J22" i="3" s="1"/>
  <c r="I18" i="3"/>
  <c r="Q17" i="3"/>
  <c r="K17" i="3"/>
  <c r="I17" i="3"/>
  <c r="Q16" i="3"/>
  <c r="P16" i="3"/>
  <c r="P17" i="3" s="1"/>
  <c r="O16" i="3"/>
  <c r="O17" i="3" s="1"/>
  <c r="N16" i="3"/>
  <c r="N17" i="3" s="1"/>
  <c r="M16" i="3"/>
  <c r="M17" i="3" s="1"/>
  <c r="L16" i="3"/>
  <c r="L17" i="3" s="1"/>
  <c r="K16" i="3"/>
  <c r="J16" i="3"/>
  <c r="J17" i="3" s="1"/>
  <c r="I16" i="3"/>
  <c r="Q10" i="3"/>
  <c r="Q21" i="3" s="1"/>
  <c r="P10" i="3"/>
  <c r="P21" i="3" s="1"/>
  <c r="O10" i="3"/>
  <c r="O21" i="3" s="1"/>
  <c r="N10" i="3"/>
  <c r="M10" i="3"/>
  <c r="L10" i="3"/>
  <c r="J10" i="3"/>
  <c r="J21" i="3" s="1"/>
  <c r="H10" i="3"/>
  <c r="H21" i="3" s="1"/>
  <c r="L9" i="3"/>
  <c r="L20" i="3" s="1"/>
  <c r="J9" i="3"/>
  <c r="J20" i="3" s="1"/>
  <c r="H9" i="3"/>
  <c r="H20" i="3" s="1"/>
  <c r="N8" i="3"/>
  <c r="N19" i="3" s="1"/>
  <c r="M8" i="3"/>
  <c r="M19" i="3" s="1"/>
  <c r="L8" i="3"/>
  <c r="L11" i="3" s="1"/>
  <c r="K8" i="3"/>
  <c r="K19" i="3" s="1"/>
  <c r="J8" i="3"/>
  <c r="S8" i="3" s="1"/>
  <c r="H8" i="3"/>
  <c r="Q7" i="3"/>
  <c r="P7" i="3"/>
  <c r="P18" i="3" s="1"/>
  <c r="N7" i="3"/>
  <c r="O7" i="3" s="1"/>
  <c r="M7" i="3"/>
  <c r="M18" i="3" s="1"/>
  <c r="L7" i="3"/>
  <c r="J7" i="3"/>
  <c r="S7" i="3" s="1"/>
  <c r="I7" i="3"/>
  <c r="H7" i="3"/>
  <c r="H18" i="3" s="1"/>
  <c r="H14" i="2"/>
  <c r="I14" i="2"/>
  <c r="J14" i="2"/>
  <c r="K14" i="2"/>
  <c r="L14" i="2"/>
  <c r="M14" i="2"/>
  <c r="N14" i="2"/>
  <c r="G14" i="2"/>
  <c r="P19" i="2"/>
  <c r="M8" i="2"/>
  <c r="M18" i="2" s="1"/>
  <c r="G6" i="2"/>
  <c r="G16" i="2" s="1"/>
  <c r="H6" i="2"/>
  <c r="H16" i="2" s="1"/>
  <c r="H19" i="2" s="1"/>
  <c r="I6" i="2"/>
  <c r="I16" i="2" s="1"/>
  <c r="J6" i="2"/>
  <c r="N6" i="2" s="1"/>
  <c r="N16" i="2" s="1"/>
  <c r="G7" i="2"/>
  <c r="G17" i="2" s="1"/>
  <c r="H7" i="2"/>
  <c r="H17" i="2" s="1"/>
  <c r="I7" i="2"/>
  <c r="I17" i="2" s="1"/>
  <c r="J7" i="2"/>
  <c r="K7" i="2" s="1"/>
  <c r="K17" i="2" s="1"/>
  <c r="G8" i="2"/>
  <c r="G18" i="2" s="1"/>
  <c r="H8" i="2"/>
  <c r="H18" i="2" s="1"/>
  <c r="I8" i="2"/>
  <c r="I18" i="2" s="1"/>
  <c r="J8" i="2"/>
  <c r="N8" i="2" s="1"/>
  <c r="N18" i="2" s="1"/>
  <c r="H5" i="2"/>
  <c r="H15" i="2" s="1"/>
  <c r="I5" i="2"/>
  <c r="I15" i="2" s="1"/>
  <c r="J5" i="2"/>
  <c r="N5" i="2" s="1"/>
  <c r="N15" i="2" s="1"/>
  <c r="G5" i="2"/>
  <c r="G9" i="2" s="1"/>
  <c r="F6" i="2"/>
  <c r="F16" i="2" s="1"/>
  <c r="F7" i="2"/>
  <c r="F17" i="2" s="1"/>
  <c r="F8" i="2"/>
  <c r="F18" i="2" s="1"/>
  <c r="F9" i="2"/>
  <c r="F19" i="2" s="1"/>
  <c r="F5" i="2"/>
  <c r="F15" i="2" s="1"/>
  <c r="C9" i="2"/>
  <c r="B9" i="2"/>
  <c r="M22" i="3" l="1"/>
  <c r="O18" i="3"/>
  <c r="M11" i="3"/>
  <c r="M9" i="3"/>
  <c r="M20" i="3" s="1"/>
  <c r="S10" i="3"/>
  <c r="I8" i="3"/>
  <c r="Q8" i="3"/>
  <c r="Q19" i="3" s="1"/>
  <c r="N9" i="3"/>
  <c r="K10" i="3"/>
  <c r="K21" i="3" s="1"/>
  <c r="S9" i="3"/>
  <c r="K9" i="3"/>
  <c r="K20" i="3" s="1"/>
  <c r="O8" i="3"/>
  <c r="O19" i="3" s="1"/>
  <c r="K7" i="3"/>
  <c r="P8" i="3"/>
  <c r="P19" i="3" s="1"/>
  <c r="J11" i="3"/>
  <c r="N18" i="3"/>
  <c r="L19" i="3"/>
  <c r="L22" i="3" s="1"/>
  <c r="M7" i="2"/>
  <c r="M17" i="2" s="1"/>
  <c r="M6" i="2"/>
  <c r="M16" i="2" s="1"/>
  <c r="I9" i="2"/>
  <c r="L8" i="2"/>
  <c r="L18" i="2" s="1"/>
  <c r="L6" i="2"/>
  <c r="L16" i="2" s="1"/>
  <c r="J18" i="2"/>
  <c r="J17" i="2"/>
  <c r="J16" i="2"/>
  <c r="H9" i="2"/>
  <c r="K8" i="2"/>
  <c r="K18" i="2" s="1"/>
  <c r="K6" i="2"/>
  <c r="K16" i="2" s="1"/>
  <c r="J15" i="2"/>
  <c r="K5" i="2"/>
  <c r="K15" i="2" s="1"/>
  <c r="N7" i="2"/>
  <c r="N17" i="2" s="1"/>
  <c r="N19" i="2" s="1"/>
  <c r="J9" i="2"/>
  <c r="M5" i="2"/>
  <c r="M15" i="2" s="1"/>
  <c r="M19" i="2" s="1"/>
  <c r="L7" i="2"/>
  <c r="L17" i="2" s="1"/>
  <c r="G15" i="2"/>
  <c r="G19" i="2" s="1"/>
  <c r="L5" i="2"/>
  <c r="L15" i="2" s="1"/>
  <c r="I19" i="2"/>
  <c r="K11" i="3" l="1"/>
  <c r="K18" i="3"/>
  <c r="K22" i="3" s="1"/>
  <c r="Q9" i="3"/>
  <c r="Q20" i="3" s="1"/>
  <c r="Q22" i="3" s="1"/>
  <c r="P9" i="3"/>
  <c r="O9" i="3"/>
  <c r="O20" i="3" s="1"/>
  <c r="O22" i="3" s="1"/>
  <c r="N20" i="3"/>
  <c r="N22" i="3" s="1"/>
  <c r="I9" i="3"/>
  <c r="I19" i="3"/>
  <c r="N11" i="3"/>
  <c r="M9" i="2"/>
  <c r="J19" i="2"/>
  <c r="K9" i="2"/>
  <c r="L9" i="2"/>
  <c r="L19" i="2"/>
  <c r="K19" i="2"/>
  <c r="N9" i="2"/>
  <c r="O11" i="3" l="1"/>
  <c r="P20" i="3"/>
  <c r="P22" i="3" s="1"/>
  <c r="P11" i="3"/>
  <c r="I10" i="3"/>
  <c r="I20" i="3"/>
  <c r="Q11" i="3"/>
  <c r="I21" i="3" l="1"/>
  <c r="I22" i="3" s="1"/>
  <c r="I11" i="3"/>
</calcChain>
</file>

<file path=xl/sharedStrings.xml><?xml version="1.0" encoding="utf-8"?>
<sst xmlns="http://schemas.openxmlformats.org/spreadsheetml/2006/main" count="34" uniqueCount="22">
  <si>
    <t>Entity</t>
  </si>
  <si>
    <t>Shortage (%) from 0 to 300 kaf</t>
  </si>
  <si>
    <t>Shortage (%) from 300 to 1,500 kaf</t>
  </si>
  <si>
    <t>Total Shortage (kaf) when Lower Basin-wide Shortage is 1,500 kaf</t>
  </si>
  <si>
    <t>Shortage (%) 1,500 kaf to 2,344 kaf</t>
  </si>
  <si>
    <t>Shortage (%) 2,345 kaf to 3,600 kaf</t>
  </si>
  <si>
    <t>Arizona</t>
  </si>
  <si>
    <t>California</t>
  </si>
  <si>
    <t>Nevada</t>
  </si>
  <si>
    <t>Mexico</t>
  </si>
  <si>
    <t>1.5 check</t>
  </si>
  <si>
    <t>Shortage (%) from 0 to 1,814 kaf</t>
  </si>
  <si>
    <t>Shortage (%) from 1,815 to 3,600 kaf</t>
  </si>
  <si>
    <t>Total</t>
  </si>
  <si>
    <t>Shortage Volume (maf per year)</t>
  </si>
  <si>
    <t>Available Water (maf per year)</t>
  </si>
  <si>
    <t>Table 2-4. 2029–2060 Shortage Distribution, Representative Preferred Alternative</t>
  </si>
  <si>
    <t>Available Water</t>
  </si>
  <si>
    <t>Table A1. Share of Lake Mead available water by volume (rounded to 0.1 maf).</t>
  </si>
  <si>
    <t>Table 2-3 within the Final Environmental Impact Statement (2026). This table shows 2027–2028 Shortage Distribution by Percentage, Representative Preferred Alternative</t>
  </si>
  <si>
    <t>Conversion of Percentage Shares of Shortage in Table 2-3 into shortage volumes</t>
  </si>
  <si>
    <t>Conversation of shortage volumes into available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</si>
</sst>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8A30-C318-4700-9675-3B2DC6ABEFA7}">
  <dimension ref="A1:S22"/>
  <sheetViews>
    <sheetView tabSelected="1" topLeftCell="A6" zoomScale="180" zoomScaleNormal="180" workbookViewId="0">
      <selection activeCell="B19" sqref="B19"/>
    </sheetView>
  </sheetViews>
  <sheetFormatPr defaultRowHeight="14.5" x14ac:dyDescent="0.35"/>
  <cols>
    <col min="2" max="2" width="11" customWidth="1"/>
    <col min="3" max="3" width="13.36328125" customWidth="1"/>
    <col min="4" max="4" width="21.36328125" customWidth="1"/>
    <col min="5" max="5" width="12.6328125" customWidth="1"/>
    <col min="6" max="6" width="13.54296875" customWidth="1"/>
    <col min="9" max="17" width="4.54296875" customWidth="1"/>
    <col min="18" max="18" width="3.6328125" customWidth="1"/>
    <col min="19" max="19" width="8.453125" bestFit="1" customWidth="1"/>
  </cols>
  <sheetData>
    <row r="1" spans="1:19" x14ac:dyDescent="0.35">
      <c r="A1" s="18" t="s">
        <v>18</v>
      </c>
    </row>
    <row r="4" spans="1:19" ht="30.5" customHeight="1" x14ac:dyDescent="0.35">
      <c r="A4" s="19" t="s">
        <v>19</v>
      </c>
      <c r="B4" s="19"/>
      <c r="C4" s="19"/>
      <c r="D4" s="19"/>
      <c r="E4" s="19"/>
      <c r="F4" s="19"/>
      <c r="H4" t="s">
        <v>20</v>
      </c>
    </row>
    <row r="5" spans="1:19" x14ac:dyDescent="0.35">
      <c r="H5" s="11"/>
      <c r="I5" s="17" t="s">
        <v>14</v>
      </c>
      <c r="J5" s="17"/>
      <c r="K5" s="17"/>
      <c r="L5" s="17"/>
      <c r="M5" s="17"/>
      <c r="N5" s="17"/>
      <c r="O5" s="17"/>
      <c r="P5" s="17"/>
      <c r="Q5" s="17"/>
    </row>
    <row r="6" spans="1:19" ht="47.5" customHeight="1" x14ac:dyDescent="0.35">
      <c r="A6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H6" s="11" t="s">
        <v>0</v>
      </c>
      <c r="I6" s="7">
        <v>0</v>
      </c>
      <c r="J6" s="7">
        <v>0.3</v>
      </c>
      <c r="K6" s="7">
        <v>1</v>
      </c>
      <c r="L6" s="7">
        <v>1.5</v>
      </c>
      <c r="M6" s="7">
        <v>2</v>
      </c>
      <c r="N6" s="12">
        <v>2.3439999999999999</v>
      </c>
      <c r="O6" s="7">
        <v>2.5</v>
      </c>
      <c r="P6" s="7">
        <v>3</v>
      </c>
      <c r="Q6" s="7">
        <v>3.6</v>
      </c>
      <c r="S6" t="s">
        <v>10</v>
      </c>
    </row>
    <row r="7" spans="1:19" x14ac:dyDescent="0.35">
      <c r="A7" t="s">
        <v>6</v>
      </c>
      <c r="B7" s="3">
        <v>80</v>
      </c>
      <c r="C7" s="3">
        <v>43.33</v>
      </c>
      <c r="D7" s="3">
        <v>760</v>
      </c>
      <c r="E7" s="3">
        <v>76.260000000000005</v>
      </c>
      <c r="F7" s="3">
        <v>31.1</v>
      </c>
      <c r="H7" s="5" t="str">
        <f>A7</f>
        <v>Arizona</v>
      </c>
      <c r="I7" s="6">
        <f>I6</f>
        <v>0</v>
      </c>
      <c r="J7" s="6">
        <f>J$6*B7/100</f>
        <v>0.24</v>
      </c>
      <c r="K7" s="6">
        <f>$J7+(K$6-$J$6)*C7/100</f>
        <v>0.54330999999999996</v>
      </c>
      <c r="L7" s="6">
        <f>D7/1000</f>
        <v>0.76</v>
      </c>
      <c r="M7" s="6">
        <f>$L7+(M$6-$L$6)*$E7/100</f>
        <v>1.1413</v>
      </c>
      <c r="N7" s="6">
        <f>$L7+(N$6-$L$6)*$E7/100</f>
        <v>1.4036344000000001</v>
      </c>
      <c r="O7" s="6">
        <f t="shared" ref="O7:Q10" si="0">$N7+(O$6-$N$6)*$F7/100</f>
        <v>1.4521504000000001</v>
      </c>
      <c r="P7" s="6">
        <f t="shared" si="0"/>
        <v>1.6076504</v>
      </c>
      <c r="Q7" s="6">
        <f t="shared" si="0"/>
        <v>1.7942504000000001</v>
      </c>
      <c r="S7" s="4">
        <f>$J7+(L$6-$J$6)*C7/100</f>
        <v>0.75995999999999997</v>
      </c>
    </row>
    <row r="8" spans="1:19" x14ac:dyDescent="0.35">
      <c r="A8" t="s">
        <v>7</v>
      </c>
      <c r="B8" s="3">
        <v>0</v>
      </c>
      <c r="C8" s="3">
        <v>36.67</v>
      </c>
      <c r="D8" s="3">
        <v>440</v>
      </c>
      <c r="E8" s="3">
        <v>0</v>
      </c>
      <c r="F8" s="3">
        <v>45.16</v>
      </c>
      <c r="H8" s="5" t="str">
        <f>A8</f>
        <v>California</v>
      </c>
      <c r="I8" s="6">
        <f t="shared" ref="I8:I10" si="1">I7</f>
        <v>0</v>
      </c>
      <c r="J8" s="6">
        <f>J$6*B8/100</f>
        <v>0</v>
      </c>
      <c r="K8" s="6">
        <f>$J8+(K$6-$J$6)*C8/100</f>
        <v>0.25669000000000003</v>
      </c>
      <c r="L8" s="6">
        <f>D8/1000</f>
        <v>0.44</v>
      </c>
      <c r="M8" s="6">
        <f t="shared" ref="M8:N10" si="2">$L8+(M$6-$L$6)*$E8/100</f>
        <v>0.44</v>
      </c>
      <c r="N8" s="6">
        <f t="shared" si="2"/>
        <v>0.44</v>
      </c>
      <c r="O8" s="6">
        <f t="shared" si="0"/>
        <v>0.51044960000000006</v>
      </c>
      <c r="P8" s="6">
        <f t="shared" si="0"/>
        <v>0.73624960000000006</v>
      </c>
      <c r="Q8" s="6">
        <f t="shared" si="0"/>
        <v>1.0072096000000001</v>
      </c>
      <c r="S8" s="4">
        <f>$J8+(L$6-$J$6)*C8/100</f>
        <v>0.44003999999999999</v>
      </c>
    </row>
    <row r="9" spans="1:19" x14ac:dyDescent="0.35">
      <c r="A9" t="s">
        <v>8</v>
      </c>
      <c r="B9" s="3">
        <v>3.33</v>
      </c>
      <c r="C9" s="3">
        <v>3.33</v>
      </c>
      <c r="D9" s="3">
        <v>50</v>
      </c>
      <c r="E9" s="3">
        <v>7.08</v>
      </c>
      <c r="F9" s="3">
        <v>7.08</v>
      </c>
      <c r="H9" s="5" t="str">
        <f>A9</f>
        <v>Nevada</v>
      </c>
      <c r="I9" s="6">
        <f t="shared" si="1"/>
        <v>0</v>
      </c>
      <c r="J9" s="6">
        <f>J$6*B9/100</f>
        <v>9.9900000000000006E-3</v>
      </c>
      <c r="K9" s="6">
        <f>$J9+(K$6-$J$6)*C9/100</f>
        <v>3.3300000000000003E-2</v>
      </c>
      <c r="L9" s="6">
        <f>D9/1000</f>
        <v>0.05</v>
      </c>
      <c r="M9" s="6">
        <f t="shared" si="2"/>
        <v>8.5400000000000004E-2</v>
      </c>
      <c r="N9" s="6">
        <f t="shared" si="2"/>
        <v>0.1097552</v>
      </c>
      <c r="O9" s="6">
        <f t="shared" si="0"/>
        <v>0.1208</v>
      </c>
      <c r="P9" s="6">
        <f t="shared" si="0"/>
        <v>0.15620000000000001</v>
      </c>
      <c r="Q9" s="6">
        <f t="shared" si="0"/>
        <v>0.19868000000000002</v>
      </c>
      <c r="S9" s="4">
        <f>$J9+(L$6-$J$6)*C9/100</f>
        <v>4.9950000000000001E-2</v>
      </c>
    </row>
    <row r="10" spans="1:19" x14ac:dyDescent="0.35">
      <c r="A10" t="s">
        <v>9</v>
      </c>
      <c r="B10" s="3">
        <v>16.670000000000002</v>
      </c>
      <c r="C10" s="3">
        <v>16.670000000000002</v>
      </c>
      <c r="D10" s="3">
        <v>250</v>
      </c>
      <c r="E10" s="3">
        <v>16.670000000000002</v>
      </c>
      <c r="F10" s="3">
        <v>16.670000000000002</v>
      </c>
      <c r="H10" s="5" t="str">
        <f>A10</f>
        <v>Mexico</v>
      </c>
      <c r="I10" s="6">
        <f t="shared" si="1"/>
        <v>0</v>
      </c>
      <c r="J10" s="6">
        <f>J$6*B10/100</f>
        <v>5.0010000000000006E-2</v>
      </c>
      <c r="K10" s="6">
        <f>$J10+(K$6-$J$6)*C10/100</f>
        <v>0.16670000000000001</v>
      </c>
      <c r="L10" s="6">
        <f>D10/1000</f>
        <v>0.25</v>
      </c>
      <c r="M10" s="6">
        <f t="shared" si="2"/>
        <v>0.33335000000000004</v>
      </c>
      <c r="N10" s="6">
        <f t="shared" si="2"/>
        <v>0.39069480000000001</v>
      </c>
      <c r="O10" s="6">
        <f t="shared" si="0"/>
        <v>0.41670000000000001</v>
      </c>
      <c r="P10" s="6">
        <f t="shared" si="0"/>
        <v>0.50005000000000011</v>
      </c>
      <c r="Q10" s="6">
        <f t="shared" si="0"/>
        <v>0.6000700000000001</v>
      </c>
      <c r="S10" s="4">
        <f>$J10+(L$6-$J$6)*C10/100</f>
        <v>0.25005000000000005</v>
      </c>
    </row>
    <row r="11" spans="1:19" x14ac:dyDescent="0.35">
      <c r="H11" s="9" t="s">
        <v>13</v>
      </c>
      <c r="I11" s="10">
        <f>SUM(I7:I10)</f>
        <v>0</v>
      </c>
      <c r="J11" s="10">
        <f t="shared" ref="J11:Q11" si="3">SUM(J7:J10)</f>
        <v>0.3</v>
      </c>
      <c r="K11" s="10">
        <f t="shared" si="3"/>
        <v>1</v>
      </c>
      <c r="L11" s="10">
        <f t="shared" si="3"/>
        <v>1.5</v>
      </c>
      <c r="M11" s="10">
        <f t="shared" si="3"/>
        <v>2.0000499999999999</v>
      </c>
      <c r="N11" s="10">
        <f t="shared" si="3"/>
        <v>2.3440843999999998</v>
      </c>
      <c r="O11" s="10">
        <f t="shared" si="3"/>
        <v>2.5001000000000002</v>
      </c>
      <c r="P11" s="10">
        <f t="shared" si="3"/>
        <v>3.0001500000000005</v>
      </c>
      <c r="Q11" s="10">
        <f t="shared" si="3"/>
        <v>3.6002100000000006</v>
      </c>
    </row>
    <row r="14" spans="1:19" x14ac:dyDescent="0.35">
      <c r="H14" t="s">
        <v>21</v>
      </c>
    </row>
    <row r="15" spans="1:19" x14ac:dyDescent="0.35">
      <c r="H15" s="17" t="s">
        <v>0</v>
      </c>
      <c r="I15" s="17" t="s">
        <v>14</v>
      </c>
      <c r="J15" s="17"/>
      <c r="K15" s="17"/>
      <c r="L15" s="17"/>
      <c r="M15" s="17"/>
      <c r="N15" s="17"/>
      <c r="O15" s="17"/>
      <c r="P15" s="17"/>
      <c r="Q15" s="17"/>
    </row>
    <row r="16" spans="1:19" x14ac:dyDescent="0.35">
      <c r="H16" s="17"/>
      <c r="I16" s="7">
        <f>I6</f>
        <v>0</v>
      </c>
      <c r="J16" s="7">
        <f t="shared" ref="J16:Q16" si="4">J6</f>
        <v>0.3</v>
      </c>
      <c r="K16" s="7">
        <f t="shared" si="4"/>
        <v>1</v>
      </c>
      <c r="L16" s="7">
        <f t="shared" si="4"/>
        <v>1.5</v>
      </c>
      <c r="M16" s="7">
        <f t="shared" si="4"/>
        <v>2</v>
      </c>
      <c r="N16" s="7">
        <f t="shared" si="4"/>
        <v>2.3439999999999999</v>
      </c>
      <c r="O16" s="7">
        <f t="shared" si="4"/>
        <v>2.5</v>
      </c>
      <c r="P16" s="7">
        <f t="shared" si="4"/>
        <v>3</v>
      </c>
      <c r="Q16" s="7">
        <f t="shared" si="4"/>
        <v>3.6</v>
      </c>
    </row>
    <row r="17" spans="8:19" ht="29" x14ac:dyDescent="0.35">
      <c r="H17" s="15" t="s">
        <v>17</v>
      </c>
      <c r="I17" s="16">
        <f>$S17-I16</f>
        <v>9</v>
      </c>
      <c r="J17" s="16">
        <f t="shared" ref="J17:Q17" si="5">$S17-J16</f>
        <v>8.6999999999999993</v>
      </c>
      <c r="K17" s="16">
        <f t="shared" si="5"/>
        <v>8</v>
      </c>
      <c r="L17" s="16">
        <f t="shared" si="5"/>
        <v>7.5</v>
      </c>
      <c r="M17" s="16">
        <f t="shared" si="5"/>
        <v>7</v>
      </c>
      <c r="N17" s="16">
        <f t="shared" si="5"/>
        <v>6.6560000000000006</v>
      </c>
      <c r="O17" s="16">
        <f t="shared" si="5"/>
        <v>6.5</v>
      </c>
      <c r="P17" s="16">
        <f t="shared" si="5"/>
        <v>6</v>
      </c>
      <c r="Q17" s="16">
        <f t="shared" si="5"/>
        <v>5.4</v>
      </c>
      <c r="S17" s="13">
        <v>9</v>
      </c>
    </row>
    <row r="18" spans="8:19" x14ac:dyDescent="0.35">
      <c r="H18" s="5" t="str">
        <f>H7</f>
        <v>Arizona</v>
      </c>
      <c r="I18" s="6">
        <f t="shared" ref="I18:Q21" si="6">$S18-I7</f>
        <v>2.8</v>
      </c>
      <c r="J18" s="6">
        <f t="shared" si="6"/>
        <v>2.5599999999999996</v>
      </c>
      <c r="K18" s="6">
        <f t="shared" si="6"/>
        <v>2.2566899999999999</v>
      </c>
      <c r="L18" s="6">
        <f t="shared" si="6"/>
        <v>2.04</v>
      </c>
      <c r="M18" s="6">
        <f t="shared" si="6"/>
        <v>1.6586999999999998</v>
      </c>
      <c r="N18" s="6">
        <f t="shared" si="6"/>
        <v>1.3963655999999998</v>
      </c>
      <c r="O18" s="6">
        <f t="shared" si="6"/>
        <v>1.3478495999999998</v>
      </c>
      <c r="P18" s="6">
        <f t="shared" si="6"/>
        <v>1.1923495999999998</v>
      </c>
      <c r="Q18" s="6">
        <f t="shared" si="6"/>
        <v>1.0057495999999997</v>
      </c>
      <c r="S18">
        <v>2.8</v>
      </c>
    </row>
    <row r="19" spans="8:19" x14ac:dyDescent="0.35">
      <c r="H19" s="5" t="str">
        <f>H8</f>
        <v>California</v>
      </c>
      <c r="I19" s="6">
        <f t="shared" si="6"/>
        <v>4.4000000000000004</v>
      </c>
      <c r="J19" s="6">
        <f t="shared" si="6"/>
        <v>4.4000000000000004</v>
      </c>
      <c r="K19" s="6">
        <f t="shared" si="6"/>
        <v>4.1433100000000005</v>
      </c>
      <c r="L19" s="6">
        <f t="shared" si="6"/>
        <v>3.9600000000000004</v>
      </c>
      <c r="M19" s="6">
        <f t="shared" si="6"/>
        <v>3.9600000000000004</v>
      </c>
      <c r="N19" s="6">
        <f t="shared" si="6"/>
        <v>3.9600000000000004</v>
      </c>
      <c r="O19" s="6">
        <f t="shared" si="6"/>
        <v>3.8895504000000001</v>
      </c>
      <c r="P19" s="6">
        <f t="shared" si="6"/>
        <v>3.6637504000000005</v>
      </c>
      <c r="Q19" s="6">
        <f t="shared" si="6"/>
        <v>3.3927904</v>
      </c>
      <c r="S19">
        <v>4.4000000000000004</v>
      </c>
    </row>
    <row r="20" spans="8:19" x14ac:dyDescent="0.35">
      <c r="H20" s="5" t="str">
        <f>H9</f>
        <v>Nevada</v>
      </c>
      <c r="I20" s="6">
        <f t="shared" si="6"/>
        <v>0.3</v>
      </c>
      <c r="J20" s="6">
        <f t="shared" si="6"/>
        <v>0.29000999999999999</v>
      </c>
      <c r="K20" s="6">
        <f t="shared" si="6"/>
        <v>0.26669999999999999</v>
      </c>
      <c r="L20" s="6">
        <f t="shared" si="6"/>
        <v>0.25</v>
      </c>
      <c r="M20" s="6">
        <f t="shared" si="6"/>
        <v>0.21459999999999999</v>
      </c>
      <c r="N20" s="6">
        <f t="shared" si="6"/>
        <v>0.19024479999999999</v>
      </c>
      <c r="O20" s="6">
        <f t="shared" si="6"/>
        <v>0.17919999999999997</v>
      </c>
      <c r="P20" s="6">
        <f t="shared" si="6"/>
        <v>0.14379999999999998</v>
      </c>
      <c r="Q20" s="6">
        <f t="shared" si="6"/>
        <v>0.10131999999999997</v>
      </c>
      <c r="S20">
        <v>0.3</v>
      </c>
    </row>
    <row r="21" spans="8:19" x14ac:dyDescent="0.35">
      <c r="H21" s="5" t="str">
        <f>H10</f>
        <v>Mexico</v>
      </c>
      <c r="I21" s="6">
        <f t="shared" si="6"/>
        <v>1.5</v>
      </c>
      <c r="J21" s="6">
        <f t="shared" si="6"/>
        <v>1.4499899999999999</v>
      </c>
      <c r="K21" s="6">
        <f t="shared" si="6"/>
        <v>1.3332999999999999</v>
      </c>
      <c r="L21" s="6">
        <f t="shared" si="6"/>
        <v>1.25</v>
      </c>
      <c r="M21" s="6">
        <f t="shared" si="6"/>
        <v>1.16665</v>
      </c>
      <c r="N21" s="6">
        <f t="shared" si="6"/>
        <v>1.1093052000000001</v>
      </c>
      <c r="O21" s="6">
        <f t="shared" si="6"/>
        <v>1.0832999999999999</v>
      </c>
      <c r="P21" s="6">
        <f t="shared" si="6"/>
        <v>0.99994999999999989</v>
      </c>
      <c r="Q21" s="6">
        <f t="shared" si="6"/>
        <v>0.8999299999999999</v>
      </c>
      <c r="S21">
        <v>1.5</v>
      </c>
    </row>
    <row r="22" spans="8:19" x14ac:dyDescent="0.35">
      <c r="H22" s="9" t="str">
        <f>H11</f>
        <v>Total</v>
      </c>
      <c r="I22" s="10">
        <f>SUM(I18:I21)</f>
        <v>9</v>
      </c>
      <c r="J22" s="10">
        <f t="shared" ref="J22:Q22" si="7">SUM(J18:J21)</f>
        <v>8.6999999999999993</v>
      </c>
      <c r="K22" s="10">
        <f t="shared" si="7"/>
        <v>8</v>
      </c>
      <c r="L22" s="10">
        <f t="shared" si="7"/>
        <v>7.5</v>
      </c>
      <c r="M22" s="10">
        <f t="shared" si="7"/>
        <v>6.9999500000000001</v>
      </c>
      <c r="N22" s="10">
        <f t="shared" si="7"/>
        <v>6.6559156000000002</v>
      </c>
      <c r="O22" s="10">
        <f t="shared" si="7"/>
        <v>6.4999000000000002</v>
      </c>
      <c r="P22" s="10">
        <f t="shared" si="7"/>
        <v>5.9998500000000003</v>
      </c>
      <c r="Q22" s="10">
        <f t="shared" si="7"/>
        <v>5.3997899999999994</v>
      </c>
      <c r="S22" s="14">
        <f>SUM(S18:S21)</f>
        <v>9</v>
      </c>
    </row>
  </sheetData>
  <mergeCells count="4">
    <mergeCell ref="A4:F4"/>
    <mergeCell ref="I5:Q5"/>
    <mergeCell ref="H15:H16"/>
    <mergeCell ref="I15:Q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BDA8-FF90-401E-B6A7-4111E9AA005E}">
  <dimension ref="A1:P19"/>
  <sheetViews>
    <sheetView zoomScale="150" zoomScaleNormal="150" workbookViewId="0">
      <selection activeCell="A2" sqref="A2"/>
    </sheetView>
  </sheetViews>
  <sheetFormatPr defaultRowHeight="14.5" x14ac:dyDescent="0.35"/>
  <cols>
    <col min="2" max="2" width="15.81640625" customWidth="1"/>
    <col min="3" max="3" width="15.453125" customWidth="1"/>
    <col min="7" max="14" width="5.81640625" customWidth="1"/>
  </cols>
  <sheetData>
    <row r="1" spans="1:16" x14ac:dyDescent="0.35">
      <c r="A1" t="s">
        <v>16</v>
      </c>
    </row>
    <row r="3" spans="1:16" x14ac:dyDescent="0.35">
      <c r="F3" s="17" t="s">
        <v>0</v>
      </c>
      <c r="G3" s="17" t="s">
        <v>14</v>
      </c>
      <c r="H3" s="17"/>
      <c r="I3" s="17"/>
      <c r="J3" s="17"/>
      <c r="K3" s="17"/>
      <c r="L3" s="17"/>
      <c r="M3" s="17"/>
      <c r="N3" s="17"/>
    </row>
    <row r="4" spans="1:16" ht="29.5" customHeight="1" x14ac:dyDescent="0.35">
      <c r="A4" t="s">
        <v>0</v>
      </c>
      <c r="B4" s="1" t="s">
        <v>11</v>
      </c>
      <c r="C4" s="1" t="s">
        <v>12</v>
      </c>
      <c r="F4" s="17"/>
      <c r="G4" s="8">
        <v>0</v>
      </c>
      <c r="H4" s="8">
        <v>1</v>
      </c>
      <c r="I4" s="8">
        <v>1.5</v>
      </c>
      <c r="J4" s="8">
        <v>1.8140000000000001</v>
      </c>
      <c r="K4" s="7">
        <v>2</v>
      </c>
      <c r="L4" s="7">
        <v>2.5</v>
      </c>
      <c r="M4" s="7">
        <v>3</v>
      </c>
      <c r="N4" s="7">
        <v>3.6</v>
      </c>
    </row>
    <row r="5" spans="1:16" x14ac:dyDescent="0.35">
      <c r="A5" t="s">
        <v>6</v>
      </c>
      <c r="B5">
        <v>77.400000000000006</v>
      </c>
      <c r="C5">
        <v>25.77</v>
      </c>
      <c r="F5" s="5" t="str">
        <f>A5</f>
        <v>Arizona</v>
      </c>
      <c r="G5" s="6">
        <f>G$4*$B5/100</f>
        <v>0</v>
      </c>
      <c r="H5" s="6">
        <f t="shared" ref="H5:J8" si="0">H$4*$B5/100</f>
        <v>0.77400000000000002</v>
      </c>
      <c r="I5" s="6">
        <f t="shared" si="0"/>
        <v>1.161</v>
      </c>
      <c r="J5" s="6">
        <f t="shared" si="0"/>
        <v>1.4040360000000001</v>
      </c>
      <c r="K5" s="6">
        <f>$J5+(K$4-$J$4)*$C5/100</f>
        <v>1.4519682</v>
      </c>
      <c r="L5" s="6">
        <f t="shared" ref="L5:N8" si="1">$J5+(L$4-$J$4)*$C5/100</f>
        <v>1.5808182</v>
      </c>
      <c r="M5" s="6">
        <f t="shared" si="1"/>
        <v>1.7096682000000001</v>
      </c>
      <c r="N5" s="6">
        <f t="shared" si="1"/>
        <v>1.8642882000000001</v>
      </c>
    </row>
    <row r="6" spans="1:16" x14ac:dyDescent="0.35">
      <c r="A6" t="s">
        <v>7</v>
      </c>
      <c r="B6">
        <v>0</v>
      </c>
      <c r="C6">
        <v>51.63</v>
      </c>
      <c r="F6" s="5" t="str">
        <f t="shared" ref="F6:F9" si="2">A6</f>
        <v>California</v>
      </c>
      <c r="G6" s="6">
        <f t="shared" ref="G6:G8" si="3">G$4*$B6/100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ref="K6:K8" si="4">$J6+(K$4-$J$4)*$C6/100</f>
        <v>9.6031799999999987E-2</v>
      </c>
      <c r="L6" s="6">
        <f t="shared" si="1"/>
        <v>0.35418179999999999</v>
      </c>
      <c r="M6" s="6">
        <f t="shared" si="1"/>
        <v>0.61233179999999998</v>
      </c>
      <c r="N6" s="6">
        <f t="shared" si="1"/>
        <v>0.92211180000000015</v>
      </c>
    </row>
    <row r="7" spans="1:16" x14ac:dyDescent="0.35">
      <c r="A7" t="s">
        <v>8</v>
      </c>
      <c r="B7">
        <v>5.93</v>
      </c>
      <c r="C7">
        <v>5.93</v>
      </c>
      <c r="F7" s="5" t="str">
        <f t="shared" si="2"/>
        <v>Nevada</v>
      </c>
      <c r="G7" s="6">
        <f t="shared" si="3"/>
        <v>0</v>
      </c>
      <c r="H7" s="6">
        <f t="shared" si="0"/>
        <v>5.9299999999999999E-2</v>
      </c>
      <c r="I7" s="6">
        <f t="shared" si="0"/>
        <v>8.8950000000000001E-2</v>
      </c>
      <c r="J7" s="6">
        <f t="shared" si="0"/>
        <v>0.1075702</v>
      </c>
      <c r="K7" s="6">
        <f t="shared" si="4"/>
        <v>0.1186</v>
      </c>
      <c r="L7" s="6">
        <f t="shared" si="1"/>
        <v>0.14824999999999999</v>
      </c>
      <c r="M7" s="6">
        <f t="shared" si="1"/>
        <v>0.1779</v>
      </c>
      <c r="N7" s="6">
        <f t="shared" si="1"/>
        <v>0.21348</v>
      </c>
    </row>
    <row r="8" spans="1:16" x14ac:dyDescent="0.35">
      <c r="A8" t="s">
        <v>9</v>
      </c>
      <c r="B8">
        <v>16.670000000000002</v>
      </c>
      <c r="C8">
        <v>16.670000000000002</v>
      </c>
      <c r="F8" s="5" t="str">
        <f t="shared" si="2"/>
        <v>Mexico</v>
      </c>
      <c r="G8" s="6">
        <f t="shared" si="3"/>
        <v>0</v>
      </c>
      <c r="H8" s="6">
        <f t="shared" si="0"/>
        <v>0.16670000000000001</v>
      </c>
      <c r="I8" s="6">
        <f t="shared" si="0"/>
        <v>0.25005000000000005</v>
      </c>
      <c r="J8" s="6">
        <f t="shared" si="0"/>
        <v>0.30239380000000005</v>
      </c>
      <c r="K8" s="6">
        <f t="shared" si="4"/>
        <v>0.33340000000000003</v>
      </c>
      <c r="L8" s="6">
        <f t="shared" si="1"/>
        <v>0.41675000000000006</v>
      </c>
      <c r="M8" s="6">
        <f t="shared" si="1"/>
        <v>0.50009999999999999</v>
      </c>
      <c r="N8" s="6">
        <f t="shared" si="1"/>
        <v>0.6001200000000001</v>
      </c>
    </row>
    <row r="9" spans="1:16" x14ac:dyDescent="0.35">
      <c r="A9" t="s">
        <v>13</v>
      </c>
      <c r="B9">
        <f>SUM(B5:B8)</f>
        <v>100.00000000000001</v>
      </c>
      <c r="C9">
        <f>SUM(C5:C8)</f>
        <v>100.00000000000001</v>
      </c>
      <c r="F9" s="9" t="str">
        <f t="shared" si="2"/>
        <v>Total</v>
      </c>
      <c r="G9" s="10">
        <f>SUM(G5:G8)</f>
        <v>0</v>
      </c>
      <c r="H9" s="10">
        <f t="shared" ref="H9:N9" si="5">SUM(H5:H8)</f>
        <v>1</v>
      </c>
      <c r="I9" s="10">
        <f t="shared" si="5"/>
        <v>1.5000000000000002</v>
      </c>
      <c r="J9" s="10">
        <f t="shared" si="5"/>
        <v>1.8140000000000001</v>
      </c>
      <c r="K9" s="10">
        <f t="shared" si="5"/>
        <v>2</v>
      </c>
      <c r="L9" s="10">
        <f t="shared" si="5"/>
        <v>2.5</v>
      </c>
      <c r="M9" s="10">
        <f t="shared" si="5"/>
        <v>3</v>
      </c>
      <c r="N9" s="10">
        <f t="shared" si="5"/>
        <v>3.6000000000000005</v>
      </c>
    </row>
    <row r="13" spans="1:16" x14ac:dyDescent="0.35">
      <c r="F13" s="17" t="s">
        <v>0</v>
      </c>
      <c r="G13" s="17" t="s">
        <v>15</v>
      </c>
      <c r="H13" s="17"/>
      <c r="I13" s="17"/>
      <c r="J13" s="17"/>
      <c r="K13" s="17"/>
      <c r="L13" s="17"/>
      <c r="M13" s="17"/>
      <c r="N13" s="17"/>
    </row>
    <row r="14" spans="1:16" x14ac:dyDescent="0.35">
      <c r="F14" s="17"/>
      <c r="G14" s="8">
        <f>$P14-G4</f>
        <v>9</v>
      </c>
      <c r="H14" s="8">
        <f t="shared" ref="H14:N14" si="6">$P14-H4</f>
        <v>8</v>
      </c>
      <c r="I14" s="8">
        <f t="shared" si="6"/>
        <v>7.5</v>
      </c>
      <c r="J14" s="8">
        <f t="shared" si="6"/>
        <v>7.1859999999999999</v>
      </c>
      <c r="K14" s="8">
        <f t="shared" si="6"/>
        <v>7</v>
      </c>
      <c r="L14" s="8">
        <f t="shared" si="6"/>
        <v>6.5</v>
      </c>
      <c r="M14" s="8">
        <f t="shared" si="6"/>
        <v>6</v>
      </c>
      <c r="N14" s="8">
        <f t="shared" si="6"/>
        <v>5.4</v>
      </c>
      <c r="P14" s="13">
        <v>9</v>
      </c>
    </row>
    <row r="15" spans="1:16" x14ac:dyDescent="0.35">
      <c r="F15" s="5" t="str">
        <f>F5</f>
        <v>Arizona</v>
      </c>
      <c r="G15" s="6">
        <f>$P15-G5</f>
        <v>2.8</v>
      </c>
      <c r="H15" s="6">
        <f t="shared" ref="H15:N15" si="7">$P15-H5</f>
        <v>2.0259999999999998</v>
      </c>
      <c r="I15" s="6">
        <f t="shared" si="7"/>
        <v>1.6389999999999998</v>
      </c>
      <c r="J15" s="6">
        <f t="shared" si="7"/>
        <v>1.3959639999999998</v>
      </c>
      <c r="K15" s="6">
        <f t="shared" si="7"/>
        <v>1.3480317999999998</v>
      </c>
      <c r="L15" s="6">
        <f t="shared" si="7"/>
        <v>1.2191817999999999</v>
      </c>
      <c r="M15" s="6">
        <f t="shared" si="7"/>
        <v>1.0903317999999997</v>
      </c>
      <c r="N15" s="6">
        <f t="shared" si="7"/>
        <v>0.93571179999999976</v>
      </c>
      <c r="P15">
        <v>2.8</v>
      </c>
    </row>
    <row r="16" spans="1:16" x14ac:dyDescent="0.35">
      <c r="F16" s="5" t="str">
        <f t="shared" ref="F16:F18" si="8">F6</f>
        <v>California</v>
      </c>
      <c r="G16" s="6">
        <f t="shared" ref="G16:N16" si="9">$P16-G6</f>
        <v>4.4000000000000004</v>
      </c>
      <c r="H16" s="6">
        <f t="shared" si="9"/>
        <v>4.4000000000000004</v>
      </c>
      <c r="I16" s="6">
        <f t="shared" si="9"/>
        <v>4.4000000000000004</v>
      </c>
      <c r="J16" s="6">
        <f t="shared" si="9"/>
        <v>4.4000000000000004</v>
      </c>
      <c r="K16" s="6">
        <f t="shared" si="9"/>
        <v>4.3039682000000008</v>
      </c>
      <c r="L16" s="6">
        <f t="shared" si="9"/>
        <v>4.0458182000000003</v>
      </c>
      <c r="M16" s="6">
        <f t="shared" si="9"/>
        <v>3.7876682000000006</v>
      </c>
      <c r="N16" s="6">
        <f t="shared" si="9"/>
        <v>3.4778882000000002</v>
      </c>
      <c r="P16">
        <v>4.4000000000000004</v>
      </c>
    </row>
    <row r="17" spans="6:16" x14ac:dyDescent="0.35">
      <c r="F17" s="5" t="str">
        <f t="shared" si="8"/>
        <v>Nevada</v>
      </c>
      <c r="G17" s="6">
        <f t="shared" ref="G17:N17" si="10">$P17-G7</f>
        <v>0.3</v>
      </c>
      <c r="H17" s="6">
        <f t="shared" si="10"/>
        <v>0.2407</v>
      </c>
      <c r="I17" s="6">
        <f t="shared" si="10"/>
        <v>0.21104999999999999</v>
      </c>
      <c r="J17" s="6">
        <f t="shared" si="10"/>
        <v>0.19242979999999998</v>
      </c>
      <c r="K17" s="6">
        <f t="shared" si="10"/>
        <v>0.18140000000000001</v>
      </c>
      <c r="L17" s="6">
        <f t="shared" si="10"/>
        <v>0.15175</v>
      </c>
      <c r="M17" s="6">
        <f t="shared" si="10"/>
        <v>0.12209999999999999</v>
      </c>
      <c r="N17" s="6">
        <f t="shared" si="10"/>
        <v>8.6519999999999986E-2</v>
      </c>
      <c r="P17">
        <v>0.3</v>
      </c>
    </row>
    <row r="18" spans="6:16" x14ac:dyDescent="0.35">
      <c r="F18" s="5" t="str">
        <f t="shared" si="8"/>
        <v>Mexico</v>
      </c>
      <c r="G18" s="6">
        <f t="shared" ref="G18:N18" si="11">$P18-G8</f>
        <v>1.5</v>
      </c>
      <c r="H18" s="6">
        <f t="shared" si="11"/>
        <v>1.3332999999999999</v>
      </c>
      <c r="I18" s="6">
        <f t="shared" si="11"/>
        <v>1.2499499999999999</v>
      </c>
      <c r="J18" s="6">
        <f t="shared" si="11"/>
        <v>1.1976062000000001</v>
      </c>
      <c r="K18" s="6">
        <f t="shared" si="11"/>
        <v>1.1665999999999999</v>
      </c>
      <c r="L18" s="6">
        <f t="shared" si="11"/>
        <v>1.08325</v>
      </c>
      <c r="M18" s="6">
        <f t="shared" si="11"/>
        <v>0.99990000000000001</v>
      </c>
      <c r="N18" s="6">
        <f t="shared" si="11"/>
        <v>0.8998799999999999</v>
      </c>
      <c r="P18">
        <v>1.5</v>
      </c>
    </row>
    <row r="19" spans="6:16" x14ac:dyDescent="0.35">
      <c r="F19" s="9" t="str">
        <f>F9</f>
        <v>Total</v>
      </c>
      <c r="G19" s="10">
        <f>SUM(G15:G18)</f>
        <v>9</v>
      </c>
      <c r="H19" s="10">
        <f t="shared" ref="H19" si="12">SUM(H15:H18)</f>
        <v>8</v>
      </c>
      <c r="I19" s="10">
        <f t="shared" ref="I19" si="13">SUM(I15:I18)</f>
        <v>7.5</v>
      </c>
      <c r="J19" s="10">
        <f t="shared" ref="J19" si="14">SUM(J15:J18)</f>
        <v>7.1859999999999999</v>
      </c>
      <c r="K19" s="10">
        <f t="shared" ref="K19" si="15">SUM(K15:K18)</f>
        <v>7.0000000000000009</v>
      </c>
      <c r="L19" s="10">
        <f t="shared" ref="L19" si="16">SUM(L15:L18)</f>
        <v>6.5</v>
      </c>
      <c r="M19" s="10">
        <f t="shared" ref="M19" si="17">SUM(M15:M18)</f>
        <v>6</v>
      </c>
      <c r="N19" s="10">
        <f t="shared" ref="N19" si="18">SUM(N15:N18)</f>
        <v>5.3999999999999995</v>
      </c>
      <c r="P19" s="14">
        <f>SUM(P15:P18)</f>
        <v>9</v>
      </c>
    </row>
  </sheetData>
  <mergeCells count="4">
    <mergeCell ref="G3:N3"/>
    <mergeCell ref="F3:F4"/>
    <mergeCell ref="F13:F14"/>
    <mergeCell ref="G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Shortages-2027to2028</vt:lpstr>
      <vt:lpstr>Shortages229-2060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2026-08-08T06:02:58Z</dcterms:modified>
</cp:coreProperties>
</file>