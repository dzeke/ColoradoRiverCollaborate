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Post2026\FinalEIS\"/>
    </mc:Choice>
  </mc:AlternateContent>
  <xr:revisionPtr revIDLastSave="0" documentId="13_ncr:1_{FE20E53F-5495-4364-B428-C2C63E099D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rtages-2027-2028" sheetId="1" r:id="rId1"/>
    <sheet name="Shortages229-206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I15" i="1"/>
  <c r="J15" i="1"/>
  <c r="K15" i="1"/>
  <c r="L15" i="1"/>
  <c r="M15" i="1"/>
  <c r="N15" i="1"/>
  <c r="O15" i="1"/>
  <c r="P15" i="1"/>
  <c r="Q15" i="1"/>
  <c r="I16" i="1"/>
  <c r="J16" i="1"/>
  <c r="K16" i="1"/>
  <c r="L16" i="1"/>
  <c r="M16" i="1"/>
  <c r="N16" i="1"/>
  <c r="O16" i="1"/>
  <c r="P16" i="1"/>
  <c r="Q16" i="1"/>
  <c r="I17" i="1"/>
  <c r="J17" i="1"/>
  <c r="K17" i="1"/>
  <c r="L17" i="1"/>
  <c r="M17" i="1"/>
  <c r="N17" i="1"/>
  <c r="O17" i="1"/>
  <c r="P17" i="1"/>
  <c r="Q17" i="1"/>
  <c r="J14" i="1"/>
  <c r="K14" i="1"/>
  <c r="L14" i="1"/>
  <c r="M14" i="1"/>
  <c r="N14" i="1"/>
  <c r="O14" i="1"/>
  <c r="P14" i="1"/>
  <c r="Q14" i="1"/>
  <c r="I14" i="1"/>
  <c r="J13" i="1"/>
  <c r="K13" i="1"/>
  <c r="L13" i="1"/>
  <c r="M13" i="1"/>
  <c r="N13" i="1"/>
  <c r="O13" i="1"/>
  <c r="P13" i="1"/>
  <c r="Q13" i="1"/>
  <c r="I13" i="1"/>
  <c r="S18" i="1"/>
  <c r="H18" i="1"/>
  <c r="H17" i="1"/>
  <c r="H16" i="1"/>
  <c r="H15" i="1"/>
  <c r="H14" i="1"/>
  <c r="H12" i="2"/>
  <c r="I12" i="2"/>
  <c r="J12" i="2"/>
  <c r="K12" i="2"/>
  <c r="L12" i="2"/>
  <c r="M12" i="2"/>
  <c r="N12" i="2"/>
  <c r="G12" i="2"/>
  <c r="G14" i="2"/>
  <c r="H14" i="2"/>
  <c r="H17" i="2" s="1"/>
  <c r="I14" i="2"/>
  <c r="J14" i="2"/>
  <c r="K14" i="2"/>
  <c r="L14" i="2"/>
  <c r="M14" i="2"/>
  <c r="N14" i="2"/>
  <c r="G15" i="2"/>
  <c r="H15" i="2"/>
  <c r="I15" i="2"/>
  <c r="J15" i="2"/>
  <c r="K15" i="2"/>
  <c r="L15" i="2"/>
  <c r="M15" i="2"/>
  <c r="N15" i="2"/>
  <c r="G16" i="2"/>
  <c r="H16" i="2"/>
  <c r="I16" i="2"/>
  <c r="J16" i="2"/>
  <c r="K16" i="2"/>
  <c r="L16" i="2"/>
  <c r="M16" i="2"/>
  <c r="N16" i="2"/>
  <c r="H13" i="2"/>
  <c r="I13" i="2"/>
  <c r="J13" i="2"/>
  <c r="J17" i="2" s="1"/>
  <c r="K13" i="2"/>
  <c r="L13" i="2"/>
  <c r="M13" i="2"/>
  <c r="N13" i="2"/>
  <c r="G13" i="2"/>
  <c r="P17" i="2"/>
  <c r="F17" i="2"/>
  <c r="F14" i="2"/>
  <c r="F15" i="2"/>
  <c r="F16" i="2"/>
  <c r="F13" i="2"/>
  <c r="M5" i="1"/>
  <c r="N5" i="1"/>
  <c r="M6" i="1"/>
  <c r="N6" i="1"/>
  <c r="M7" i="1"/>
  <c r="M8" i="1" s="1"/>
  <c r="N7" i="1"/>
  <c r="Q7" i="1" s="1"/>
  <c r="N4" i="1"/>
  <c r="P4" i="1" s="1"/>
  <c r="M4" i="1"/>
  <c r="J8" i="1"/>
  <c r="K8" i="1"/>
  <c r="L8" i="1"/>
  <c r="I8" i="1"/>
  <c r="K4" i="2"/>
  <c r="L4" i="2"/>
  <c r="M4" i="2"/>
  <c r="N4" i="2"/>
  <c r="K5" i="2"/>
  <c r="L5" i="2"/>
  <c r="M5" i="2"/>
  <c r="N5" i="2"/>
  <c r="K6" i="2"/>
  <c r="L6" i="2"/>
  <c r="M6" i="2"/>
  <c r="N6" i="2"/>
  <c r="L3" i="2"/>
  <c r="M3" i="2"/>
  <c r="N3" i="2"/>
  <c r="K3" i="2"/>
  <c r="H7" i="2"/>
  <c r="I7" i="2"/>
  <c r="J7" i="2"/>
  <c r="G7" i="2"/>
  <c r="G4" i="2"/>
  <c r="H4" i="2"/>
  <c r="I4" i="2"/>
  <c r="J4" i="2"/>
  <c r="G5" i="2"/>
  <c r="H5" i="2"/>
  <c r="I5" i="2"/>
  <c r="J5" i="2"/>
  <c r="G6" i="2"/>
  <c r="H6" i="2"/>
  <c r="I6" i="2"/>
  <c r="J6" i="2"/>
  <c r="H3" i="2"/>
  <c r="I3" i="2"/>
  <c r="J3" i="2"/>
  <c r="G3" i="2"/>
  <c r="F4" i="2"/>
  <c r="F5" i="2"/>
  <c r="F6" i="2"/>
  <c r="F7" i="2"/>
  <c r="F3" i="2"/>
  <c r="C7" i="2"/>
  <c r="B7" i="2"/>
  <c r="O5" i="1"/>
  <c r="L5" i="1"/>
  <c r="P5" i="1" s="1"/>
  <c r="L6" i="1"/>
  <c r="O6" i="1" s="1"/>
  <c r="L7" i="1"/>
  <c r="O7" i="1" s="1"/>
  <c r="L4" i="1"/>
  <c r="K4" i="1"/>
  <c r="J4" i="1"/>
  <c r="S4" i="1" s="1"/>
  <c r="J5" i="1"/>
  <c r="K5" i="1" s="1"/>
  <c r="J6" i="1"/>
  <c r="S6" i="1" s="1"/>
  <c r="J7" i="1"/>
  <c r="S7" i="1" s="1"/>
  <c r="I4" i="1"/>
  <c r="I5" i="1" s="1"/>
  <c r="I6" i="1" s="1"/>
  <c r="I7" i="1" s="1"/>
  <c r="H5" i="1"/>
  <c r="H6" i="1"/>
  <c r="H7" i="1"/>
  <c r="H4" i="1"/>
  <c r="I17" i="2" l="1"/>
  <c r="G17" i="2"/>
  <c r="N17" i="2"/>
  <c r="M17" i="2"/>
  <c r="N8" i="1"/>
  <c r="Q4" i="1"/>
  <c r="M7" i="2"/>
  <c r="L7" i="2"/>
  <c r="K7" i="2"/>
  <c r="P7" i="1"/>
  <c r="Q6" i="1"/>
  <c r="P6" i="1"/>
  <c r="P8" i="1" s="1"/>
  <c r="O4" i="1"/>
  <c r="O8" i="1" s="1"/>
  <c r="Q5" i="1"/>
  <c r="S5" i="1"/>
  <c r="K7" i="1"/>
  <c r="K6" i="1"/>
  <c r="L17" i="2" l="1"/>
  <c r="K17" i="2"/>
  <c r="Q8" i="1"/>
  <c r="N7" i="2"/>
  <c r="K18" i="1"/>
  <c r="L18" i="1"/>
  <c r="M18" i="1"/>
  <c r="O18" i="1"/>
  <c r="I18" i="1"/>
  <c r="N18" i="1"/>
  <c r="P18" i="1"/>
  <c r="J18" i="1"/>
</calcChain>
</file>

<file path=xl/sharedStrings.xml><?xml version="1.0" encoding="utf-8"?>
<sst xmlns="http://schemas.openxmlformats.org/spreadsheetml/2006/main" count="29" uniqueCount="17">
  <si>
    <t>Entity</t>
  </si>
  <si>
    <t>Shortage (%) from 0 to 300 kaf</t>
  </si>
  <si>
    <t>Shortage (%) from 300 to 1,500 kaf</t>
  </si>
  <si>
    <t>Total Shortage (kaf) when Lower Basin-wide Shortage is 1,500 kaf</t>
  </si>
  <si>
    <t>Shortage (%) 1,500 kaf to 2,344 kaf</t>
  </si>
  <si>
    <t>Shortage (%) 2,345 kaf to 3,600 kaf</t>
  </si>
  <si>
    <t>Arizona</t>
  </si>
  <si>
    <t>California</t>
  </si>
  <si>
    <t>Nevada</t>
  </si>
  <si>
    <t>Mexico</t>
  </si>
  <si>
    <t>Table 2-3 2027–2028 Shortage Distribution, Representative Preferred Alternative</t>
  </si>
  <si>
    <t>1.5 check</t>
  </si>
  <si>
    <t>Shortage (%) from 0 to 1,814 kaf</t>
  </si>
  <si>
    <t>Shortage (%) from 1,815 to 3,600 kaf</t>
  </si>
  <si>
    <t>Total</t>
  </si>
  <si>
    <t>Shortage Volume (maf per year)</t>
  </si>
  <si>
    <t>Available Water (maf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</si>
</sst>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166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topLeftCell="F9" zoomScale="180" zoomScaleNormal="180" workbookViewId="0">
      <selection activeCell="P18" sqref="P18:Q18"/>
    </sheetView>
  </sheetViews>
  <sheetFormatPr defaultRowHeight="14.5" x14ac:dyDescent="0.35"/>
  <cols>
    <col min="2" max="2" width="11" customWidth="1"/>
    <col min="3" max="3" width="13.36328125" customWidth="1"/>
    <col min="4" max="4" width="21.36328125" customWidth="1"/>
    <col min="5" max="5" width="12.6328125" customWidth="1"/>
    <col min="6" max="6" width="13.54296875" customWidth="1"/>
    <col min="9" max="17" width="4.54296875" customWidth="1"/>
    <col min="18" max="18" width="3.6328125" customWidth="1"/>
    <col min="19" max="19" width="8.453125" bestFit="1" customWidth="1"/>
  </cols>
  <sheetData>
    <row r="1" spans="1:19" x14ac:dyDescent="0.35">
      <c r="A1" t="s">
        <v>10</v>
      </c>
    </row>
    <row r="2" spans="1:19" x14ac:dyDescent="0.35">
      <c r="H2" s="12"/>
      <c r="I2" s="7" t="s">
        <v>15</v>
      </c>
      <c r="J2" s="7"/>
      <c r="K2" s="7"/>
      <c r="L2" s="7"/>
      <c r="M2" s="7"/>
      <c r="N2" s="7"/>
      <c r="O2" s="7"/>
      <c r="P2" s="7"/>
      <c r="Q2" s="7"/>
    </row>
    <row r="3" spans="1:19" ht="47.5" customHeight="1" x14ac:dyDescent="0.35">
      <c r="A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12" t="s">
        <v>0</v>
      </c>
      <c r="I3" s="9">
        <v>0</v>
      </c>
      <c r="J3" s="9">
        <v>0.3</v>
      </c>
      <c r="K3" s="9">
        <v>1</v>
      </c>
      <c r="L3" s="9">
        <v>1.5</v>
      </c>
      <c r="M3" s="9">
        <v>2</v>
      </c>
      <c r="N3" s="13">
        <v>2.3439999999999999</v>
      </c>
      <c r="O3" s="9">
        <v>2.5</v>
      </c>
      <c r="P3" s="9">
        <v>3</v>
      </c>
      <c r="Q3" s="9">
        <v>3.6</v>
      </c>
      <c r="S3" t="s">
        <v>11</v>
      </c>
    </row>
    <row r="4" spans="1:19" x14ac:dyDescent="0.35">
      <c r="A4" t="s">
        <v>6</v>
      </c>
      <c r="B4" s="3">
        <v>80</v>
      </c>
      <c r="C4" s="3">
        <v>43.33</v>
      </c>
      <c r="D4" s="3">
        <v>760</v>
      </c>
      <c r="E4" s="3">
        <v>76.260000000000005</v>
      </c>
      <c r="F4" s="3">
        <v>31.1</v>
      </c>
      <c r="H4" s="5" t="str">
        <f>A4</f>
        <v>Arizona</v>
      </c>
      <c r="I4" s="6">
        <f>I3</f>
        <v>0</v>
      </c>
      <c r="J4" s="6">
        <f>J$3*B4/100</f>
        <v>0.24</v>
      </c>
      <c r="K4" s="6">
        <f>$J4+(K$3-$J$3)*C4/100</f>
        <v>0.54330999999999996</v>
      </c>
      <c r="L4" s="6">
        <f>D4/1000</f>
        <v>0.76</v>
      </c>
      <c r="M4" s="6">
        <f>$L4+(M$3-$L$3)*$E4/100</f>
        <v>1.1413</v>
      </c>
      <c r="N4" s="6">
        <f>$L4+(N$3-$L$3)*$E4/100</f>
        <v>1.4036344000000001</v>
      </c>
      <c r="O4" s="6">
        <f>$N4+(O$3-$N$3)*$F4/100</f>
        <v>1.4521504000000001</v>
      </c>
      <c r="P4" s="6">
        <f>$N4+(P$3-$N$3)*$F4/100</f>
        <v>1.6076504</v>
      </c>
      <c r="Q4" s="6">
        <f>$N4+(Q$3-$N$3)*$F4/100</f>
        <v>1.7942504000000001</v>
      </c>
      <c r="S4" s="4">
        <f>$J4+(L$3-$J$3)*C4/100</f>
        <v>0.75995999999999997</v>
      </c>
    </row>
    <row r="5" spans="1:19" x14ac:dyDescent="0.35">
      <c r="A5" t="s">
        <v>7</v>
      </c>
      <c r="B5" s="3">
        <v>0</v>
      </c>
      <c r="C5" s="3">
        <v>36.67</v>
      </c>
      <c r="D5" s="3">
        <v>440</v>
      </c>
      <c r="E5" s="3">
        <v>0</v>
      </c>
      <c r="F5" s="3">
        <v>45.16</v>
      </c>
      <c r="H5" s="5" t="str">
        <f>A5</f>
        <v>California</v>
      </c>
      <c r="I5" s="6">
        <f t="shared" ref="I5:I7" si="0">I4</f>
        <v>0</v>
      </c>
      <c r="J5" s="6">
        <f>J$3*B5/100</f>
        <v>0</v>
      </c>
      <c r="K5" s="6">
        <f>$J5+(K$3-$J$3)*C5/100</f>
        <v>0.25669000000000003</v>
      </c>
      <c r="L5" s="6">
        <f>D5/1000</f>
        <v>0.44</v>
      </c>
      <c r="M5" s="6">
        <f t="shared" ref="M5:N7" si="1">$L5+(M$3-$L$3)*$E5/100</f>
        <v>0.44</v>
      </c>
      <c r="N5" s="6">
        <f t="shared" si="1"/>
        <v>0.44</v>
      </c>
      <c r="O5" s="6">
        <f>$N5+(O$3-$N$3)*$F5/100</f>
        <v>0.51044960000000006</v>
      </c>
      <c r="P5" s="6">
        <f>$N5+(P$3-$N$3)*$F5/100</f>
        <v>0.73624960000000006</v>
      </c>
      <c r="Q5" s="6">
        <f>$N5+(Q$3-$N$3)*$F5/100</f>
        <v>1.0072096000000001</v>
      </c>
      <c r="S5" s="4">
        <f>$J5+(L$3-$J$3)*C5/100</f>
        <v>0.44003999999999999</v>
      </c>
    </row>
    <row r="6" spans="1:19" x14ac:dyDescent="0.35">
      <c r="A6" t="s">
        <v>8</v>
      </c>
      <c r="B6" s="3">
        <v>3.33</v>
      </c>
      <c r="C6" s="3">
        <v>3.33</v>
      </c>
      <c r="D6" s="3">
        <v>50</v>
      </c>
      <c r="E6" s="3">
        <v>7.08</v>
      </c>
      <c r="F6" s="3">
        <v>7.08</v>
      </c>
      <c r="H6" s="5" t="str">
        <f>A6</f>
        <v>Nevada</v>
      </c>
      <c r="I6" s="6">
        <f t="shared" si="0"/>
        <v>0</v>
      </c>
      <c r="J6" s="6">
        <f>J$3*B6/100</f>
        <v>9.9900000000000006E-3</v>
      </c>
      <c r="K6" s="6">
        <f>$J6+(K$3-$J$3)*C6/100</f>
        <v>3.3300000000000003E-2</v>
      </c>
      <c r="L6" s="6">
        <f>D6/1000</f>
        <v>0.05</v>
      </c>
      <c r="M6" s="6">
        <f t="shared" si="1"/>
        <v>8.5400000000000004E-2</v>
      </c>
      <c r="N6" s="6">
        <f t="shared" si="1"/>
        <v>0.1097552</v>
      </c>
      <c r="O6" s="6">
        <f>$N6+(O$3-$N$3)*$F6/100</f>
        <v>0.1208</v>
      </c>
      <c r="P6" s="6">
        <f>$N6+(P$3-$N$3)*$F6/100</f>
        <v>0.15620000000000001</v>
      </c>
      <c r="Q6" s="6">
        <f>$N6+(Q$3-$N$3)*$F6/100</f>
        <v>0.19868000000000002</v>
      </c>
      <c r="S6" s="4">
        <f>$J6+(L$3-$J$3)*C6/100</f>
        <v>4.9950000000000001E-2</v>
      </c>
    </row>
    <row r="7" spans="1:19" x14ac:dyDescent="0.35">
      <c r="A7" t="s">
        <v>9</v>
      </c>
      <c r="B7" s="3">
        <v>16.670000000000002</v>
      </c>
      <c r="C7" s="3">
        <v>16.670000000000002</v>
      </c>
      <c r="D7" s="3">
        <v>250</v>
      </c>
      <c r="E7" s="3">
        <v>16.670000000000002</v>
      </c>
      <c r="F7" s="3">
        <v>16.670000000000002</v>
      </c>
      <c r="H7" s="5" t="str">
        <f>A7</f>
        <v>Mexico</v>
      </c>
      <c r="I7" s="6">
        <f t="shared" si="0"/>
        <v>0</v>
      </c>
      <c r="J7" s="6">
        <f>J$3*B7/100</f>
        <v>5.0010000000000006E-2</v>
      </c>
      <c r="K7" s="6">
        <f>$J7+(K$3-$J$3)*C7/100</f>
        <v>0.16670000000000001</v>
      </c>
      <c r="L7" s="6">
        <f>D7/1000</f>
        <v>0.25</v>
      </c>
      <c r="M7" s="6">
        <f t="shared" si="1"/>
        <v>0.33335000000000004</v>
      </c>
      <c r="N7" s="6">
        <f t="shared" si="1"/>
        <v>0.39069480000000001</v>
      </c>
      <c r="O7" s="6">
        <f>$N7+(O$3-$N$3)*$F7/100</f>
        <v>0.41670000000000001</v>
      </c>
      <c r="P7" s="6">
        <f>$N7+(P$3-$N$3)*$F7/100</f>
        <v>0.50005000000000011</v>
      </c>
      <c r="Q7" s="6">
        <f>$N7+(Q$3-$N$3)*$F7/100</f>
        <v>0.6000700000000001</v>
      </c>
      <c r="S7" s="4">
        <f>$J7+(L$3-$J$3)*C7/100</f>
        <v>0.25005000000000005</v>
      </c>
    </row>
    <row r="8" spans="1:19" x14ac:dyDescent="0.35">
      <c r="H8" s="10" t="s">
        <v>14</v>
      </c>
      <c r="I8" s="11">
        <f>SUM(I4:I7)</f>
        <v>0</v>
      </c>
      <c r="J8" s="11">
        <f t="shared" ref="J8:Q8" si="2">SUM(J4:J7)</f>
        <v>0.3</v>
      </c>
      <c r="K8" s="11">
        <f t="shared" si="2"/>
        <v>1</v>
      </c>
      <c r="L8" s="11">
        <f t="shared" si="2"/>
        <v>1.5</v>
      </c>
      <c r="M8" s="11">
        <f t="shared" si="2"/>
        <v>2.0000499999999999</v>
      </c>
      <c r="N8" s="11">
        <f t="shared" si="2"/>
        <v>2.3440843999999998</v>
      </c>
      <c r="O8" s="11">
        <f t="shared" si="2"/>
        <v>2.5001000000000002</v>
      </c>
      <c r="P8" s="11">
        <f t="shared" si="2"/>
        <v>3.0001500000000005</v>
      </c>
      <c r="Q8" s="11">
        <f t="shared" si="2"/>
        <v>3.6002100000000006</v>
      </c>
    </row>
    <row r="12" spans="1:19" x14ac:dyDescent="0.35">
      <c r="H12" s="7" t="s">
        <v>0</v>
      </c>
      <c r="I12" s="16" t="s">
        <v>16</v>
      </c>
      <c r="J12" s="17"/>
      <c r="K12" s="17"/>
      <c r="L12" s="17"/>
      <c r="M12" s="17"/>
      <c r="N12" s="17"/>
      <c r="O12" s="17"/>
      <c r="P12" s="17"/>
      <c r="Q12" s="17"/>
    </row>
    <row r="13" spans="1:19" x14ac:dyDescent="0.35">
      <c r="H13" s="7"/>
      <c r="I13" s="8">
        <f>$S13-I3</f>
        <v>9</v>
      </c>
      <c r="J13" s="8">
        <f t="shared" ref="J13:Q13" si="3">$S13-J3</f>
        <v>8.6999999999999993</v>
      </c>
      <c r="K13" s="8">
        <f t="shared" si="3"/>
        <v>8</v>
      </c>
      <c r="L13" s="8">
        <f t="shared" si="3"/>
        <v>7.5</v>
      </c>
      <c r="M13" s="8">
        <f t="shared" si="3"/>
        <v>7</v>
      </c>
      <c r="N13" s="8">
        <f t="shared" si="3"/>
        <v>6.6560000000000006</v>
      </c>
      <c r="O13" s="8">
        <f t="shared" si="3"/>
        <v>6.5</v>
      </c>
      <c r="P13" s="8">
        <f t="shared" si="3"/>
        <v>6</v>
      </c>
      <c r="Q13" s="8">
        <f t="shared" si="3"/>
        <v>5.4</v>
      </c>
      <c r="S13" s="14">
        <v>9</v>
      </c>
    </row>
    <row r="14" spans="1:19" x14ac:dyDescent="0.35">
      <c r="H14" s="5" t="str">
        <f>H4</f>
        <v>Arizona</v>
      </c>
      <c r="I14" s="6">
        <f>$S14-I4</f>
        <v>2.8</v>
      </c>
      <c r="J14" s="6">
        <f t="shared" ref="J14:Q14" si="4">$S14-J4</f>
        <v>2.5599999999999996</v>
      </c>
      <c r="K14" s="6">
        <f t="shared" si="4"/>
        <v>2.2566899999999999</v>
      </c>
      <c r="L14" s="6">
        <f t="shared" si="4"/>
        <v>2.04</v>
      </c>
      <c r="M14" s="6">
        <f t="shared" si="4"/>
        <v>1.6586999999999998</v>
      </c>
      <c r="N14" s="6">
        <f t="shared" si="4"/>
        <v>1.3963655999999998</v>
      </c>
      <c r="O14" s="6">
        <f t="shared" si="4"/>
        <v>1.3478495999999998</v>
      </c>
      <c r="P14" s="6">
        <f t="shared" si="4"/>
        <v>1.1923495999999998</v>
      </c>
      <c r="Q14" s="6">
        <f t="shared" si="4"/>
        <v>1.0057495999999997</v>
      </c>
      <c r="S14">
        <v>2.8</v>
      </c>
    </row>
    <row r="15" spans="1:19" x14ac:dyDescent="0.35">
      <c r="H15" s="5" t="str">
        <f t="shared" ref="H15:H17" si="5">H5</f>
        <v>California</v>
      </c>
      <c r="I15" s="6">
        <f t="shared" ref="I15:Q15" si="6">$S15-I5</f>
        <v>4.4000000000000004</v>
      </c>
      <c r="J15" s="6">
        <f t="shared" si="6"/>
        <v>4.4000000000000004</v>
      </c>
      <c r="K15" s="6">
        <f t="shared" si="6"/>
        <v>4.1433100000000005</v>
      </c>
      <c r="L15" s="6">
        <f t="shared" si="6"/>
        <v>3.9600000000000004</v>
      </c>
      <c r="M15" s="6">
        <f t="shared" si="6"/>
        <v>3.9600000000000004</v>
      </c>
      <c r="N15" s="6">
        <f t="shared" si="6"/>
        <v>3.9600000000000004</v>
      </c>
      <c r="O15" s="6">
        <f t="shared" si="6"/>
        <v>3.8895504000000001</v>
      </c>
      <c r="P15" s="6">
        <f t="shared" si="6"/>
        <v>3.6637504000000005</v>
      </c>
      <c r="Q15" s="6">
        <f t="shared" si="6"/>
        <v>3.3927904</v>
      </c>
      <c r="S15">
        <v>4.4000000000000004</v>
      </c>
    </row>
    <row r="16" spans="1:19" x14ac:dyDescent="0.35">
      <c r="H16" s="5" t="str">
        <f t="shared" si="5"/>
        <v>Nevada</v>
      </c>
      <c r="I16" s="6">
        <f t="shared" ref="I16:Q16" si="7">$S16-I6</f>
        <v>0.3</v>
      </c>
      <c r="J16" s="6">
        <f t="shared" si="7"/>
        <v>0.29000999999999999</v>
      </c>
      <c r="K16" s="6">
        <f t="shared" si="7"/>
        <v>0.26669999999999999</v>
      </c>
      <c r="L16" s="6">
        <f t="shared" si="7"/>
        <v>0.25</v>
      </c>
      <c r="M16" s="6">
        <f t="shared" si="7"/>
        <v>0.21459999999999999</v>
      </c>
      <c r="N16" s="6">
        <f t="shared" si="7"/>
        <v>0.19024479999999999</v>
      </c>
      <c r="O16" s="6">
        <f t="shared" si="7"/>
        <v>0.17919999999999997</v>
      </c>
      <c r="P16" s="6">
        <f t="shared" si="7"/>
        <v>0.14379999999999998</v>
      </c>
      <c r="Q16" s="6">
        <f t="shared" si="7"/>
        <v>0.10131999999999997</v>
      </c>
      <c r="S16">
        <v>0.3</v>
      </c>
    </row>
    <row r="17" spans="8:19" x14ac:dyDescent="0.35">
      <c r="H17" s="5" t="str">
        <f t="shared" si="5"/>
        <v>Mexico</v>
      </c>
      <c r="I17" s="6">
        <f t="shared" ref="I17:Q17" si="8">$S17-I7</f>
        <v>1.5</v>
      </c>
      <c r="J17" s="6">
        <f t="shared" si="8"/>
        <v>1.4499899999999999</v>
      </c>
      <c r="K17" s="6">
        <f t="shared" si="8"/>
        <v>1.3332999999999999</v>
      </c>
      <c r="L17" s="6">
        <f t="shared" si="8"/>
        <v>1.25</v>
      </c>
      <c r="M17" s="6">
        <f t="shared" si="8"/>
        <v>1.16665</v>
      </c>
      <c r="N17" s="6">
        <f t="shared" si="8"/>
        <v>1.1093052000000001</v>
      </c>
      <c r="O17" s="6">
        <f t="shared" si="8"/>
        <v>1.0832999999999999</v>
      </c>
      <c r="P17" s="6">
        <f t="shared" si="8"/>
        <v>0.99994999999999989</v>
      </c>
      <c r="Q17" s="6">
        <f t="shared" si="8"/>
        <v>0.8999299999999999</v>
      </c>
      <c r="S17">
        <v>1.5</v>
      </c>
    </row>
    <row r="18" spans="8:19" x14ac:dyDescent="0.35">
      <c r="H18" s="10" t="str">
        <f>H8</f>
        <v>Total</v>
      </c>
      <c r="I18" s="11">
        <f>SUM(I14:I17)</f>
        <v>9</v>
      </c>
      <c r="J18" s="11">
        <f t="shared" ref="J18:Q18" si="9">SUM(J14:J17)</f>
        <v>8.6999999999999993</v>
      </c>
      <c r="K18" s="11">
        <f t="shared" si="9"/>
        <v>8</v>
      </c>
      <c r="L18" s="11">
        <f t="shared" si="9"/>
        <v>7.5</v>
      </c>
      <c r="M18" s="11">
        <f t="shared" si="9"/>
        <v>6.9999500000000001</v>
      </c>
      <c r="N18" s="11">
        <f t="shared" si="9"/>
        <v>6.6559156000000002</v>
      </c>
      <c r="O18" s="11">
        <f t="shared" si="9"/>
        <v>6.4999000000000002</v>
      </c>
      <c r="P18" s="11">
        <f t="shared" si="9"/>
        <v>5.9998500000000003</v>
      </c>
      <c r="Q18" s="11">
        <f t="shared" si="9"/>
        <v>5.3997899999999994</v>
      </c>
      <c r="S18" s="15">
        <f>SUM(S14:S17)</f>
        <v>9</v>
      </c>
    </row>
  </sheetData>
  <mergeCells count="3">
    <mergeCell ref="I2:Q2"/>
    <mergeCell ref="H12:H13"/>
    <mergeCell ref="I12:Q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BDA8-FF90-401E-B6A7-4111E9AA005E}">
  <dimension ref="A1:P17"/>
  <sheetViews>
    <sheetView topLeftCell="D6" zoomScale="150" zoomScaleNormal="150" workbookViewId="0">
      <selection activeCell="F11" sqref="F11:P17"/>
    </sheetView>
  </sheetViews>
  <sheetFormatPr defaultRowHeight="14.5" x14ac:dyDescent="0.35"/>
  <cols>
    <col min="2" max="2" width="15.81640625" customWidth="1"/>
    <col min="3" max="3" width="15.453125" customWidth="1"/>
    <col min="7" max="14" width="5.81640625" customWidth="1"/>
  </cols>
  <sheetData>
    <row r="1" spans="1:16" x14ac:dyDescent="0.35">
      <c r="F1" s="7" t="s">
        <v>0</v>
      </c>
      <c r="G1" s="7" t="s">
        <v>15</v>
      </c>
      <c r="H1" s="7"/>
      <c r="I1" s="7"/>
      <c r="J1" s="7"/>
      <c r="K1" s="7"/>
      <c r="L1" s="7"/>
      <c r="M1" s="7"/>
      <c r="N1" s="7"/>
    </row>
    <row r="2" spans="1:16" ht="29.5" customHeight="1" x14ac:dyDescent="0.35">
      <c r="A2" t="s">
        <v>0</v>
      </c>
      <c r="B2" s="1" t="s">
        <v>12</v>
      </c>
      <c r="C2" s="1" t="s">
        <v>13</v>
      </c>
      <c r="F2" s="7"/>
      <c r="G2" s="8">
        <v>0</v>
      </c>
      <c r="H2" s="8">
        <v>1</v>
      </c>
      <c r="I2" s="8">
        <v>1.5</v>
      </c>
      <c r="J2" s="8">
        <v>1.8140000000000001</v>
      </c>
      <c r="K2" s="9">
        <v>2</v>
      </c>
      <c r="L2" s="9">
        <v>2.5</v>
      </c>
      <c r="M2" s="9">
        <v>3</v>
      </c>
      <c r="N2" s="9">
        <v>3.6</v>
      </c>
    </row>
    <row r="3" spans="1:16" x14ac:dyDescent="0.35">
      <c r="A3" t="s">
        <v>6</v>
      </c>
      <c r="B3">
        <v>77.400000000000006</v>
      </c>
      <c r="C3">
        <v>25.77</v>
      </c>
      <c r="F3" s="5" t="str">
        <f>A3</f>
        <v>Arizona</v>
      </c>
      <c r="G3" s="6">
        <f>G$2*$B3/100</f>
        <v>0</v>
      </c>
      <c r="H3" s="6">
        <f t="shared" ref="H3:J7" si="0">H$2*$B3/100</f>
        <v>0.77400000000000002</v>
      </c>
      <c r="I3" s="6">
        <f t="shared" si="0"/>
        <v>1.161</v>
      </c>
      <c r="J3" s="6">
        <f t="shared" si="0"/>
        <v>1.4040360000000001</v>
      </c>
      <c r="K3" s="6">
        <f>$J3+(K$2-$J$2)*$C3/100</f>
        <v>1.4519682</v>
      </c>
      <c r="L3" s="6">
        <f t="shared" ref="L3:N6" si="1">$J3+(L$2-$J$2)*$C3/100</f>
        <v>1.5808182</v>
      </c>
      <c r="M3" s="6">
        <f t="shared" si="1"/>
        <v>1.7096682000000001</v>
      </c>
      <c r="N3" s="6">
        <f t="shared" si="1"/>
        <v>1.8642882000000001</v>
      </c>
    </row>
    <row r="4" spans="1:16" x14ac:dyDescent="0.35">
      <c r="A4" t="s">
        <v>7</v>
      </c>
      <c r="B4">
        <v>0</v>
      </c>
      <c r="C4">
        <v>51.63</v>
      </c>
      <c r="F4" s="5" t="str">
        <f t="shared" ref="F4:F7" si="2">A4</f>
        <v>California</v>
      </c>
      <c r="G4" s="6">
        <f t="shared" ref="G4:G7" si="3">G$2*$B4/100</f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ref="K4:K6" si="4">$J4+(K$2-$J$2)*$C4/100</f>
        <v>9.6031799999999987E-2</v>
      </c>
      <c r="L4" s="6">
        <f t="shared" si="1"/>
        <v>0.35418179999999999</v>
      </c>
      <c r="M4" s="6">
        <f t="shared" si="1"/>
        <v>0.61233179999999998</v>
      </c>
      <c r="N4" s="6">
        <f t="shared" si="1"/>
        <v>0.92211180000000015</v>
      </c>
    </row>
    <row r="5" spans="1:16" x14ac:dyDescent="0.35">
      <c r="A5" t="s">
        <v>8</v>
      </c>
      <c r="B5">
        <v>5.93</v>
      </c>
      <c r="C5">
        <v>5.93</v>
      </c>
      <c r="F5" s="5" t="str">
        <f t="shared" si="2"/>
        <v>Nevada</v>
      </c>
      <c r="G5" s="6">
        <f t="shared" si="3"/>
        <v>0</v>
      </c>
      <c r="H5" s="6">
        <f t="shared" si="0"/>
        <v>5.9299999999999999E-2</v>
      </c>
      <c r="I5" s="6">
        <f t="shared" si="0"/>
        <v>8.8950000000000001E-2</v>
      </c>
      <c r="J5" s="6">
        <f t="shared" si="0"/>
        <v>0.1075702</v>
      </c>
      <c r="K5" s="6">
        <f t="shared" si="4"/>
        <v>0.1186</v>
      </c>
      <c r="L5" s="6">
        <f t="shared" si="1"/>
        <v>0.14824999999999999</v>
      </c>
      <c r="M5" s="6">
        <f t="shared" si="1"/>
        <v>0.1779</v>
      </c>
      <c r="N5" s="6">
        <f t="shared" si="1"/>
        <v>0.21348</v>
      </c>
    </row>
    <row r="6" spans="1:16" x14ac:dyDescent="0.35">
      <c r="A6" t="s">
        <v>9</v>
      </c>
      <c r="B6">
        <v>16.670000000000002</v>
      </c>
      <c r="C6">
        <v>16.670000000000002</v>
      </c>
      <c r="F6" s="5" t="str">
        <f t="shared" si="2"/>
        <v>Mexico</v>
      </c>
      <c r="G6" s="6">
        <f t="shared" si="3"/>
        <v>0</v>
      </c>
      <c r="H6" s="6">
        <f t="shared" si="0"/>
        <v>0.16670000000000001</v>
      </c>
      <c r="I6" s="6">
        <f t="shared" si="0"/>
        <v>0.25005000000000005</v>
      </c>
      <c r="J6" s="6">
        <f t="shared" si="0"/>
        <v>0.30239380000000005</v>
      </c>
      <c r="K6" s="6">
        <f t="shared" si="4"/>
        <v>0.33340000000000003</v>
      </c>
      <c r="L6" s="6">
        <f t="shared" si="1"/>
        <v>0.41675000000000006</v>
      </c>
      <c r="M6" s="6">
        <f t="shared" si="1"/>
        <v>0.50009999999999999</v>
      </c>
      <c r="N6" s="6">
        <f t="shared" si="1"/>
        <v>0.6001200000000001</v>
      </c>
    </row>
    <row r="7" spans="1:16" x14ac:dyDescent="0.35">
      <c r="A7" t="s">
        <v>14</v>
      </c>
      <c r="B7">
        <f>SUM(B3:B6)</f>
        <v>100.00000000000001</v>
      </c>
      <c r="C7">
        <f>SUM(C3:C6)</f>
        <v>100.00000000000001</v>
      </c>
      <c r="F7" s="10" t="str">
        <f t="shared" si="2"/>
        <v>Total</v>
      </c>
      <c r="G7" s="11">
        <f>SUM(G3:G6)</f>
        <v>0</v>
      </c>
      <c r="H7" s="11">
        <f t="shared" ref="H7:N7" si="5">SUM(H3:H6)</f>
        <v>1</v>
      </c>
      <c r="I7" s="11">
        <f t="shared" si="5"/>
        <v>1.5000000000000002</v>
      </c>
      <c r="J7" s="11">
        <f t="shared" si="5"/>
        <v>1.8140000000000001</v>
      </c>
      <c r="K7" s="11">
        <f t="shared" si="5"/>
        <v>2</v>
      </c>
      <c r="L7" s="11">
        <f t="shared" si="5"/>
        <v>2.5</v>
      </c>
      <c r="M7" s="11">
        <f t="shared" si="5"/>
        <v>3</v>
      </c>
      <c r="N7" s="11">
        <f t="shared" si="5"/>
        <v>3.6000000000000005</v>
      </c>
    </row>
    <row r="11" spans="1:16" x14ac:dyDescent="0.35">
      <c r="F11" s="7" t="s">
        <v>0</v>
      </c>
      <c r="G11" s="7" t="s">
        <v>16</v>
      </c>
      <c r="H11" s="7"/>
      <c r="I11" s="7"/>
      <c r="J11" s="7"/>
      <c r="K11" s="7"/>
      <c r="L11" s="7"/>
      <c r="M11" s="7"/>
      <c r="N11" s="7"/>
    </row>
    <row r="12" spans="1:16" x14ac:dyDescent="0.35">
      <c r="F12" s="7"/>
      <c r="G12" s="8">
        <f>$P12-G2</f>
        <v>9</v>
      </c>
      <c r="H12" s="8">
        <f t="shared" ref="H12:N12" si="6">$P12-H2</f>
        <v>8</v>
      </c>
      <c r="I12" s="8">
        <f t="shared" si="6"/>
        <v>7.5</v>
      </c>
      <c r="J12" s="8">
        <f t="shared" si="6"/>
        <v>7.1859999999999999</v>
      </c>
      <c r="K12" s="8">
        <f t="shared" si="6"/>
        <v>7</v>
      </c>
      <c r="L12" s="8">
        <f t="shared" si="6"/>
        <v>6.5</v>
      </c>
      <c r="M12" s="8">
        <f t="shared" si="6"/>
        <v>6</v>
      </c>
      <c r="N12" s="8">
        <f t="shared" si="6"/>
        <v>5.4</v>
      </c>
      <c r="P12" s="14">
        <v>9</v>
      </c>
    </row>
    <row r="13" spans="1:16" x14ac:dyDescent="0.35">
      <c r="F13" s="5" t="str">
        <f>F3</f>
        <v>Arizona</v>
      </c>
      <c r="G13" s="6">
        <f>$P13-G3</f>
        <v>2.8</v>
      </c>
      <c r="H13" s="6">
        <f t="shared" ref="H13:N13" si="7">$P13-H3</f>
        <v>2.0259999999999998</v>
      </c>
      <c r="I13" s="6">
        <f t="shared" si="7"/>
        <v>1.6389999999999998</v>
      </c>
      <c r="J13" s="6">
        <f t="shared" si="7"/>
        <v>1.3959639999999998</v>
      </c>
      <c r="K13" s="6">
        <f t="shared" si="7"/>
        <v>1.3480317999999998</v>
      </c>
      <c r="L13" s="6">
        <f t="shared" si="7"/>
        <v>1.2191817999999999</v>
      </c>
      <c r="M13" s="6">
        <f t="shared" si="7"/>
        <v>1.0903317999999997</v>
      </c>
      <c r="N13" s="6">
        <f t="shared" si="7"/>
        <v>0.93571179999999976</v>
      </c>
      <c r="P13">
        <v>2.8</v>
      </c>
    </row>
    <row r="14" spans="1:16" x14ac:dyDescent="0.35">
      <c r="F14" s="5" t="str">
        <f t="shared" ref="F14:F16" si="8">F4</f>
        <v>California</v>
      </c>
      <c r="G14" s="6">
        <f t="shared" ref="G14:N14" si="9">$P14-G4</f>
        <v>4.4000000000000004</v>
      </c>
      <c r="H14" s="6">
        <f t="shared" si="9"/>
        <v>4.4000000000000004</v>
      </c>
      <c r="I14" s="6">
        <f t="shared" si="9"/>
        <v>4.4000000000000004</v>
      </c>
      <c r="J14" s="6">
        <f t="shared" si="9"/>
        <v>4.4000000000000004</v>
      </c>
      <c r="K14" s="6">
        <f t="shared" si="9"/>
        <v>4.3039682000000008</v>
      </c>
      <c r="L14" s="6">
        <f t="shared" si="9"/>
        <v>4.0458182000000003</v>
      </c>
      <c r="M14" s="6">
        <f t="shared" si="9"/>
        <v>3.7876682000000006</v>
      </c>
      <c r="N14" s="6">
        <f t="shared" si="9"/>
        <v>3.4778882000000002</v>
      </c>
      <c r="P14">
        <v>4.4000000000000004</v>
      </c>
    </row>
    <row r="15" spans="1:16" x14ac:dyDescent="0.35">
      <c r="F15" s="5" t="str">
        <f t="shared" si="8"/>
        <v>Nevada</v>
      </c>
      <c r="G15" s="6">
        <f t="shared" ref="G15:N15" si="10">$P15-G5</f>
        <v>0.3</v>
      </c>
      <c r="H15" s="6">
        <f t="shared" si="10"/>
        <v>0.2407</v>
      </c>
      <c r="I15" s="6">
        <f t="shared" si="10"/>
        <v>0.21104999999999999</v>
      </c>
      <c r="J15" s="6">
        <f t="shared" si="10"/>
        <v>0.19242979999999998</v>
      </c>
      <c r="K15" s="6">
        <f t="shared" si="10"/>
        <v>0.18140000000000001</v>
      </c>
      <c r="L15" s="6">
        <f t="shared" si="10"/>
        <v>0.15175</v>
      </c>
      <c r="M15" s="6">
        <f t="shared" si="10"/>
        <v>0.12209999999999999</v>
      </c>
      <c r="N15" s="6">
        <f t="shared" si="10"/>
        <v>8.6519999999999986E-2</v>
      </c>
      <c r="P15">
        <v>0.3</v>
      </c>
    </row>
    <row r="16" spans="1:16" x14ac:dyDescent="0.35">
      <c r="F16" s="5" t="str">
        <f t="shared" si="8"/>
        <v>Mexico</v>
      </c>
      <c r="G16" s="6">
        <f t="shared" ref="G16:N16" si="11">$P16-G6</f>
        <v>1.5</v>
      </c>
      <c r="H16" s="6">
        <f t="shared" si="11"/>
        <v>1.3332999999999999</v>
      </c>
      <c r="I16" s="6">
        <f t="shared" si="11"/>
        <v>1.2499499999999999</v>
      </c>
      <c r="J16" s="6">
        <f t="shared" si="11"/>
        <v>1.1976062000000001</v>
      </c>
      <c r="K16" s="6">
        <f t="shared" si="11"/>
        <v>1.1665999999999999</v>
      </c>
      <c r="L16" s="6">
        <f t="shared" si="11"/>
        <v>1.08325</v>
      </c>
      <c r="M16" s="6">
        <f t="shared" si="11"/>
        <v>0.99990000000000001</v>
      </c>
      <c r="N16" s="6">
        <f t="shared" si="11"/>
        <v>0.8998799999999999</v>
      </c>
      <c r="P16">
        <v>1.5</v>
      </c>
    </row>
    <row r="17" spans="6:16" x14ac:dyDescent="0.35">
      <c r="F17" s="10" t="str">
        <f>F7</f>
        <v>Total</v>
      </c>
      <c r="G17" s="11">
        <f>SUM(G13:G16)</f>
        <v>9</v>
      </c>
      <c r="H17" s="11">
        <f t="shared" ref="H17" si="12">SUM(H13:H16)</f>
        <v>8</v>
      </c>
      <c r="I17" s="11">
        <f t="shared" ref="I17" si="13">SUM(I13:I16)</f>
        <v>7.5</v>
      </c>
      <c r="J17" s="11">
        <f t="shared" ref="J17" si="14">SUM(J13:J16)</f>
        <v>7.1859999999999999</v>
      </c>
      <c r="K17" s="11">
        <f t="shared" ref="K17" si="15">SUM(K13:K16)</f>
        <v>7.0000000000000009</v>
      </c>
      <c r="L17" s="11">
        <f t="shared" ref="L17" si="16">SUM(L13:L16)</f>
        <v>6.5</v>
      </c>
      <c r="M17" s="11">
        <f t="shared" ref="M17" si="17">SUM(M13:M16)</f>
        <v>6</v>
      </c>
      <c r="N17" s="11">
        <f t="shared" ref="N17" si="18">SUM(N13:N16)</f>
        <v>5.3999999999999995</v>
      </c>
      <c r="P17" s="15">
        <f>SUM(P13:P16)</f>
        <v>9</v>
      </c>
    </row>
  </sheetData>
  <mergeCells count="4">
    <mergeCell ref="G1:N1"/>
    <mergeCell ref="F1:F2"/>
    <mergeCell ref="F11:F12"/>
    <mergeCell ref="G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Shortages-2027-2028</vt:lpstr>
      <vt:lpstr>Shortages229-2060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2026-08-06T02:13:39Z</dcterms:modified>
</cp:coreProperties>
</file>